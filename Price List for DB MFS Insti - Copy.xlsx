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Types.xml" ContentType="application/vnd.ms-excel.rdrichvaluetypes+xml"/>
  <Override PartName="/xl/persons/person.xml" ContentType="application/vnd.ms-excel.person+xml"/>
  <Override PartName="/xl/richData/richValueRel.xml" ContentType="application/vnd.ms-excel.richvaluerel+xml"/>
  <Override PartName="/xl/richData/rdrichvaluestructure.xml" ContentType="application/vnd.ms-excel.rdrichvaluestructure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maadairy-my.sharepoint.com/personal/mis_vamaadairy_com/Documents/Data VDPL/Reports/Rate Folder/Product/"/>
    </mc:Choice>
  </mc:AlternateContent>
  <xr:revisionPtr revIDLastSave="1055" documentId="11_E2941B7ADB7A3AFF98D320CA62CBA3A03AB2EA1C" xr6:coauthVersionLast="47" xr6:coauthVersionMax="47" xr10:uidLastSave="{EC8638E0-32F7-41EF-A004-377378E1679C}"/>
  <bookViews>
    <workbookView xWindow="-120" yWindow="-120" windowWidth="29040" windowHeight="15840" firstSheet="2" activeTab="2" xr2:uid="{00000000-000D-0000-FFFF-FFFF00000000}"/>
  </bookViews>
  <sheets>
    <sheet name="Working" sheetId="1" state="hidden" r:id="rId1"/>
    <sheet name="New Sheet" sheetId="2" state="hidden" r:id="rId2"/>
    <sheet name="New Price" sheetId="11" r:id="rId3"/>
    <sheet name="Paneer" sheetId="13" r:id="rId4"/>
    <sheet name="Milk" sheetId="12" state="hidden" r:id="rId5"/>
    <sheet name="---" sheetId="7" state="hidden" r:id="rId6"/>
    <sheet name="Sheet2" sheetId="8" state="hidden" r:id="rId7"/>
    <sheet name="Sheet3" sheetId="4" state="hidden" r:id="rId8"/>
    <sheet name="Sheet4" sheetId="5" state="hidden" r:id="rId9"/>
    <sheet name="NEW GST IMPACT" sheetId="9" state="hidden" r:id="rId10"/>
    <sheet name="SKM D MArt Ghee Price" sheetId="10" state="hidden" r:id="rId11"/>
  </sheets>
  <externalReferences>
    <externalReference r:id="rId12"/>
  </externalReferences>
  <definedNames>
    <definedName name="_xlnm._FilterDatabase" localSheetId="2" hidden="1">'New Price'!$A$2:$O$2</definedName>
    <definedName name="_xlnm._FilterDatabase" localSheetId="1" hidden="1">'New Sheet'!$A$2:$AP$49</definedName>
    <definedName name="_xlnm.Print_Area" localSheetId="2">'New Price'!$A$1:$O$30</definedName>
    <definedName name="_xlnm.Print_Area" localSheetId="1">'New Sheet'!$B$1:$K$49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1" i="11" l="1"/>
  <c r="R41" i="11"/>
  <c r="Q41" i="11"/>
  <c r="P41" i="11"/>
  <c r="BH41" i="11"/>
  <c r="BG41" i="11"/>
  <c r="A4" i="11" l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C41" i="11"/>
  <c r="Y41" i="11"/>
  <c r="X41" i="11"/>
  <c r="A20" i="11" l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W41" i="11" l="1"/>
  <c r="A10" i="13" l="1"/>
  <c r="A9" i="13"/>
  <c r="A4" i="13"/>
  <c r="A5" i="13" s="1"/>
  <c r="A6" i="13" s="1"/>
  <c r="A7" i="13" s="1"/>
  <c r="A8" i="13" s="1"/>
  <c r="S4" i="12"/>
  <c r="S3" i="12"/>
  <c r="G12" i="12"/>
  <c r="G9" i="12"/>
  <c r="F12" i="12"/>
  <c r="F11" i="12"/>
  <c r="F10" i="12"/>
  <c r="F9" i="12"/>
  <c r="F8" i="12"/>
  <c r="G7" i="12"/>
  <c r="F6" i="12"/>
  <c r="F5" i="12"/>
  <c r="F4" i="12"/>
  <c r="F3" i="12"/>
  <c r="A11" i="13" l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M27" i="11"/>
  <c r="N26" i="11" l="1"/>
  <c r="L49" i="2" l="1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P45" i="2"/>
  <c r="M21" i="11"/>
  <c r="H41" i="11"/>
  <c r="M5" i="11"/>
  <c r="L5" i="11"/>
  <c r="M26" i="11"/>
  <c r="N29" i="11"/>
  <c r="N28" i="11"/>
  <c r="N27" i="11"/>
  <c r="M30" i="11"/>
  <c r="M25" i="11"/>
  <c r="N25" i="11"/>
  <c r="M24" i="11"/>
  <c r="N24" i="11"/>
  <c r="M23" i="11"/>
  <c r="N23" i="11"/>
  <c r="M22" i="11"/>
  <c r="N22" i="11"/>
  <c r="N21" i="11"/>
  <c r="M20" i="11"/>
  <c r="N20" i="11"/>
  <c r="M19" i="11"/>
  <c r="N19" i="11"/>
  <c r="M18" i="11"/>
  <c r="N18" i="11"/>
  <c r="M17" i="11"/>
  <c r="N17" i="11"/>
  <c r="N4" i="11"/>
  <c r="N3" i="11"/>
  <c r="AE5" i="2"/>
  <c r="AE4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G45" i="2"/>
  <c r="H45" i="2" s="1"/>
  <c r="H49" i="2"/>
  <c r="H48" i="2"/>
  <c r="H47" i="2"/>
  <c r="H46" i="2"/>
  <c r="H30" i="2"/>
  <c r="H29" i="2"/>
  <c r="H28" i="2"/>
  <c r="H5" i="2"/>
  <c r="H4" i="2"/>
  <c r="H3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R43" i="2" l="1"/>
  <c r="R42" i="2"/>
  <c r="R41" i="2"/>
  <c r="R40" i="2"/>
  <c r="R39" i="2"/>
  <c r="R38" i="2"/>
  <c r="R37" i="2"/>
  <c r="R36" i="2"/>
  <c r="R35" i="2"/>
  <c r="R34" i="2"/>
  <c r="R33" i="2"/>
  <c r="J43" i="2"/>
  <c r="J42" i="2"/>
  <c r="J41" i="2"/>
  <c r="J40" i="2"/>
  <c r="J39" i="2"/>
  <c r="J38" i="2"/>
  <c r="J37" i="2"/>
  <c r="J36" i="2"/>
  <c r="J35" i="2"/>
  <c r="J34" i="2"/>
  <c r="J33" i="2"/>
  <c r="K43" i="2"/>
  <c r="K42" i="2"/>
  <c r="K41" i="2"/>
  <c r="K40" i="2"/>
  <c r="K39" i="2"/>
  <c r="K38" i="2"/>
  <c r="K37" i="2"/>
  <c r="K36" i="2"/>
  <c r="K35" i="2"/>
  <c r="K34" i="2"/>
  <c r="K33" i="2"/>
  <c r="N43" i="2" l="1"/>
  <c r="N42" i="2"/>
  <c r="N41" i="2"/>
  <c r="N40" i="2"/>
  <c r="N39" i="2"/>
  <c r="N38" i="2"/>
  <c r="N37" i="2"/>
  <c r="N36" i="2"/>
  <c r="N35" i="2"/>
  <c r="N34" i="2"/>
  <c r="N33" i="2"/>
  <c r="A43" i="2" l="1"/>
  <c r="A42" i="2"/>
  <c r="A41" i="2"/>
  <c r="A40" i="2"/>
  <c r="A39" i="2"/>
  <c r="A38" i="2"/>
  <c r="A37" i="2"/>
  <c r="A36" i="2"/>
  <c r="A35" i="2"/>
  <c r="A34" i="2"/>
  <c r="A33" i="2"/>
  <c r="K44" i="2" l="1"/>
  <c r="AQ3" i="2"/>
  <c r="AQ4" i="2"/>
  <c r="AR4" i="2" s="1"/>
  <c r="AQ5" i="2"/>
  <c r="AR5" i="2" s="1"/>
  <c r="AQ6" i="2"/>
  <c r="AR6" i="2" s="1"/>
  <c r="AQ7" i="2"/>
  <c r="AR7" i="2" s="1"/>
  <c r="AQ8" i="2"/>
  <c r="AR8" i="2" s="1"/>
  <c r="AQ9" i="2"/>
  <c r="AR9" i="2" s="1"/>
  <c r="AQ10" i="2"/>
  <c r="AR10" i="2" s="1"/>
  <c r="AQ11" i="2"/>
  <c r="AR11" i="2" s="1"/>
  <c r="AQ12" i="2"/>
  <c r="AR12" i="2" s="1"/>
  <c r="AQ13" i="2"/>
  <c r="AR13" i="2" s="1"/>
  <c r="AQ14" i="2"/>
  <c r="AR14" i="2" s="1"/>
  <c r="AQ15" i="2"/>
  <c r="AR15" i="2" s="1"/>
  <c r="AQ16" i="2"/>
  <c r="AR16" i="2" s="1"/>
  <c r="AQ17" i="2"/>
  <c r="AR17" i="2" s="1"/>
  <c r="AQ18" i="2"/>
  <c r="AR18" i="2" s="1"/>
  <c r="AQ19" i="2"/>
  <c r="AR19" i="2" s="1"/>
  <c r="AQ20" i="2"/>
  <c r="AR20" i="2" s="1"/>
  <c r="AQ21" i="2"/>
  <c r="AR21" i="2" s="1"/>
  <c r="AQ22" i="2"/>
  <c r="AR22" i="2" s="1"/>
  <c r="AQ23" i="2"/>
  <c r="AR23" i="2" s="1"/>
  <c r="AQ24" i="2"/>
  <c r="AR24" i="2" s="1"/>
  <c r="AQ25" i="2"/>
  <c r="AR25" i="2" s="1"/>
  <c r="AQ26" i="2"/>
  <c r="AR26" i="2" s="1"/>
  <c r="AQ27" i="2"/>
  <c r="AR27" i="2" s="1"/>
  <c r="AQ28" i="2"/>
  <c r="AR28" i="2" s="1"/>
  <c r="AQ29" i="2"/>
  <c r="AR29" i="2" s="1"/>
  <c r="AQ30" i="2"/>
  <c r="AR30" i="2" s="1"/>
  <c r="AQ31" i="2"/>
  <c r="AR31" i="2" s="1"/>
  <c r="AQ32" i="2"/>
  <c r="AR32" i="2" s="1"/>
  <c r="AQ44" i="2"/>
  <c r="AR44" i="2" s="1"/>
  <c r="AQ45" i="2"/>
  <c r="AR45" i="2" s="1"/>
  <c r="AQ46" i="2"/>
  <c r="AR46" i="2" s="1"/>
  <c r="AQ47" i="2"/>
  <c r="AR47" i="2" s="1"/>
  <c r="AQ48" i="2"/>
  <c r="AR48" i="2" s="1"/>
  <c r="AQ49" i="2"/>
  <c r="AR49" i="2" s="1"/>
  <c r="AQ2" i="2"/>
  <c r="A49" i="2" l="1"/>
  <c r="A48" i="2"/>
  <c r="A47" i="2"/>
  <c r="A46" i="2"/>
  <c r="A45" i="2"/>
  <c r="P3" i="9" l="1"/>
  <c r="AH9" i="2"/>
  <c r="AH32" i="2"/>
  <c r="AH21" i="2"/>
  <c r="AH20" i="2"/>
  <c r="AH11" i="2"/>
  <c r="N20" i="9"/>
  <c r="J20" i="9"/>
  <c r="I20" i="9"/>
  <c r="G20" i="9"/>
  <c r="N19" i="9"/>
  <c r="J19" i="9"/>
  <c r="I19" i="9"/>
  <c r="G19" i="9"/>
  <c r="N18" i="9"/>
  <c r="J18" i="9"/>
  <c r="I18" i="9"/>
  <c r="G18" i="9"/>
  <c r="N17" i="9"/>
  <c r="J17" i="9"/>
  <c r="I17" i="9"/>
  <c r="G17" i="9"/>
  <c r="N16" i="9"/>
  <c r="J16" i="9"/>
  <c r="I16" i="9"/>
  <c r="G16" i="9"/>
  <c r="N15" i="9"/>
  <c r="J15" i="9"/>
  <c r="I15" i="9"/>
  <c r="G15" i="9"/>
  <c r="N14" i="9"/>
  <c r="J14" i="9"/>
  <c r="I14" i="9"/>
  <c r="G14" i="9"/>
  <c r="N13" i="9"/>
  <c r="J13" i="9"/>
  <c r="I13" i="9"/>
  <c r="G13" i="9"/>
  <c r="N12" i="9"/>
  <c r="J12" i="9"/>
  <c r="I12" i="9"/>
  <c r="G12" i="9"/>
  <c r="N11" i="9"/>
  <c r="J11" i="9"/>
  <c r="I11" i="9"/>
  <c r="G11" i="9"/>
  <c r="N10" i="9"/>
  <c r="J10" i="9"/>
  <c r="I10" i="9"/>
  <c r="G10" i="9"/>
  <c r="N9" i="9"/>
  <c r="J9" i="9"/>
  <c r="I9" i="9"/>
  <c r="G9" i="9"/>
  <c r="N8" i="9"/>
  <c r="J8" i="9"/>
  <c r="I8" i="9"/>
  <c r="G8" i="9"/>
  <c r="N7" i="9"/>
  <c r="J7" i="9"/>
  <c r="I7" i="9"/>
  <c r="G7" i="9"/>
  <c r="N6" i="9"/>
  <c r="J6" i="9"/>
  <c r="I6" i="9"/>
  <c r="G6" i="9"/>
  <c r="N5" i="9"/>
  <c r="J5" i="9"/>
  <c r="I5" i="9"/>
  <c r="G5" i="9"/>
  <c r="N4" i="9"/>
  <c r="J4" i="9"/>
  <c r="I4" i="9"/>
  <c r="G4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N3" i="9"/>
  <c r="J3" i="9"/>
  <c r="I3" i="9"/>
  <c r="M3" i="9" s="1"/>
  <c r="G3" i="9"/>
  <c r="A44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O32" i="2"/>
  <c r="O31" i="2"/>
  <c r="M4" i="9" l="1"/>
  <c r="M6" i="9"/>
  <c r="M7" i="9"/>
  <c r="L7" i="9" s="1"/>
  <c r="M8" i="9"/>
  <c r="L8" i="9" s="1"/>
  <c r="M9" i="9"/>
  <c r="M10" i="9"/>
  <c r="M11" i="9"/>
  <c r="L11" i="9" s="1"/>
  <c r="M12" i="9"/>
  <c r="L12" i="9" s="1"/>
  <c r="M13" i="9"/>
  <c r="M14" i="9"/>
  <c r="M15" i="9"/>
  <c r="L15" i="9" s="1"/>
  <c r="M16" i="9"/>
  <c r="L16" i="9" s="1"/>
  <c r="M17" i="9"/>
  <c r="M18" i="9"/>
  <c r="M19" i="9"/>
  <c r="L19" i="9" s="1"/>
  <c r="M20" i="9"/>
  <c r="L20" i="9" s="1"/>
  <c r="M5" i="9"/>
  <c r="L3" i="9"/>
  <c r="L4" i="9"/>
  <c r="L5" i="9"/>
  <c r="L6" i="9"/>
  <c r="L9" i="9"/>
  <c r="L10" i="9"/>
  <c r="L13" i="9"/>
  <c r="L14" i="9"/>
  <c r="L17" i="9"/>
  <c r="L18" i="9"/>
  <c r="K32" i="2"/>
  <c r="J32" i="2"/>
  <c r="P18" i="2"/>
  <c r="K4" i="2"/>
  <c r="J4" i="2"/>
  <c r="A5" i="8"/>
  <c r="A6" i="8" s="1"/>
  <c r="L35" i="7"/>
  <c r="L34" i="7"/>
  <c r="L32" i="7"/>
  <c r="L30" i="7"/>
  <c r="L28" i="7"/>
  <c r="L26" i="7"/>
  <c r="L21" i="7"/>
  <c r="L20" i="7"/>
  <c r="L17" i="7"/>
  <c r="L16" i="7"/>
  <c r="L15" i="7"/>
  <c r="L14" i="7"/>
  <c r="L13" i="7"/>
  <c r="L12" i="7"/>
  <c r="L11" i="7"/>
  <c r="L10" i="7"/>
  <c r="L9" i="7"/>
  <c r="L8" i="7"/>
  <c r="L7" i="7"/>
  <c r="S6" i="7"/>
  <c r="T6" i="7" s="1"/>
  <c r="L6" i="7"/>
  <c r="A4" i="7"/>
  <c r="A5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2" i="7" s="1"/>
  <c r="A23" i="7" s="1"/>
  <c r="A24" i="7" s="1"/>
  <c r="A26" i="7" s="1"/>
  <c r="A27" i="7" s="1"/>
  <c r="A28" i="7" s="1"/>
  <c r="BC3" i="7"/>
  <c r="BB3" i="7"/>
  <c r="L3" i="7"/>
  <c r="P30" i="2"/>
  <c r="P29" i="2"/>
  <c r="P28" i="2"/>
  <c r="P27" i="2"/>
  <c r="P26" i="2"/>
  <c r="P25" i="2"/>
  <c r="P24" i="2"/>
  <c r="P23" i="2"/>
  <c r="P22" i="2"/>
  <c r="P21" i="2"/>
  <c r="P20" i="2"/>
  <c r="P19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G26" i="5"/>
  <c r="G25" i="5"/>
  <c r="G23" i="5"/>
  <c r="G22" i="5"/>
  <c r="G21" i="5"/>
  <c r="G20" i="5"/>
  <c r="G19" i="5"/>
  <c r="G18" i="5"/>
  <c r="G16" i="5"/>
  <c r="G5" i="5"/>
  <c r="G4" i="5"/>
  <c r="G3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9" i="7" l="1"/>
  <c r="A30" i="7" s="1"/>
  <c r="A31" i="7" s="1"/>
  <c r="A32" i="7" s="1"/>
  <c r="A33" i="7" s="1"/>
  <c r="A34" i="7" s="1"/>
  <c r="A35" i="7" s="1"/>
  <c r="E15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U20" i="1" l="1"/>
  <c r="V20" i="1"/>
  <c r="Y28" i="1"/>
  <c r="Y27" i="1"/>
  <c r="Y25" i="1"/>
  <c r="Y23" i="1"/>
  <c r="Y22" i="1"/>
  <c r="Y21" i="1"/>
  <c r="Y20" i="1"/>
  <c r="Y19" i="1"/>
  <c r="Y17" i="1"/>
  <c r="Y18" i="1"/>
  <c r="Y14" i="1"/>
  <c r="Y13" i="1"/>
  <c r="Y9" i="1"/>
  <c r="Y8" i="1"/>
  <c r="Y6" i="1"/>
  <c r="M17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0" i="1"/>
  <c r="W14" i="1"/>
  <c r="W13" i="1"/>
  <c r="W5" i="1"/>
  <c r="W4" i="1"/>
  <c r="W9" i="1"/>
  <c r="W8" i="1"/>
  <c r="W7" i="1"/>
  <c r="W6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P39" i="1"/>
  <c r="P38" i="1"/>
  <c r="P37" i="1"/>
  <c r="P36" i="1"/>
  <c r="P35" i="1"/>
  <c r="P34" i="1"/>
  <c r="P33" i="1"/>
  <c r="P32" i="1"/>
  <c r="P31" i="1"/>
  <c r="M29" i="1"/>
  <c r="M28" i="1"/>
  <c r="M27" i="1"/>
  <c r="M26" i="1"/>
  <c r="M25" i="1"/>
  <c r="M24" i="1"/>
  <c r="M23" i="1"/>
  <c r="M22" i="1"/>
  <c r="M21" i="1"/>
  <c r="M20" i="1"/>
  <c r="M19" i="1"/>
  <c r="M18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AD4" authorId="0" shapeId="0" xr:uid="{20F51F6D-2328-46C8-98D7-A7907295FDA1}">
      <text>
        <r>
          <rPr>
            <b/>
            <sz val="9"/>
            <color indexed="81"/>
            <rFont val="Tahoma"/>
            <family val="2"/>
          </rPr>
          <t>MIS:</t>
        </r>
        <r>
          <rPr>
            <sz val="9"/>
            <color indexed="81"/>
            <rFont val="Tahoma"/>
            <family val="2"/>
          </rPr>
          <t xml:space="preserve">
24+1</t>
        </r>
      </text>
    </comment>
    <comment ref="AD5" authorId="0" shapeId="0" xr:uid="{2D5B17AB-887F-423F-AC30-A80C88BA385F}">
      <text>
        <r>
          <rPr>
            <b/>
            <sz val="9"/>
            <color indexed="81"/>
            <rFont val="Tahoma"/>
            <family val="2"/>
          </rPr>
          <t>MIS:</t>
        </r>
        <r>
          <rPr>
            <sz val="9"/>
            <color indexed="81"/>
            <rFont val="Tahoma"/>
            <family val="2"/>
          </rPr>
          <t xml:space="preserve">
24+1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U29" authorId="0" shapeId="0" xr:uid="{9429DC48-BCB0-4D88-85E9-E4B87FE2E1A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35/kg discount till 28th Aug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tc={72A66ECE-2E68-4232-AAED-922501F1E3A2}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@Mis add Gaia's rates also here 
Reply:
    ok sir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<sst xmlns="http://schemas.openxmlformats.org/spreadsheetml/2006/main" count="1679" uniqueCount="354">
  <si>
    <t>Current Price List</t>
  </si>
  <si>
    <t>GT Price List</t>
  </si>
  <si>
    <t>MFS</t>
  </si>
  <si>
    <t>New Price List Effective from 1st Mar'25</t>
  </si>
  <si>
    <t>Sr.No</t>
  </si>
  <si>
    <t>Product Name</t>
  </si>
  <si>
    <t>CBX</t>
  </si>
  <si>
    <t>MRP</t>
  </si>
  <si>
    <t>RT</t>
  </si>
  <si>
    <t>DB</t>
  </si>
  <si>
    <t>Special Scheme</t>
  </si>
  <si>
    <t>Net RT
Billing</t>
  </si>
  <si>
    <t>Net DB
Billing</t>
  </si>
  <si>
    <t>RRL</t>
  </si>
  <si>
    <t>RRL %</t>
  </si>
  <si>
    <t>SKM</t>
  </si>
  <si>
    <t>SKM %</t>
  </si>
  <si>
    <t>Dmart</t>
  </si>
  <si>
    <t>Dmart %</t>
  </si>
  <si>
    <t>Local MFS</t>
  </si>
  <si>
    <t>Vachan
DB Price</t>
  </si>
  <si>
    <t>Gaia Doodh Toned 500 ML (Bilaspur)</t>
  </si>
  <si>
    <t>40/Crt</t>
  </si>
  <si>
    <t>-</t>
  </si>
  <si>
    <t>100/crt incremental</t>
  </si>
  <si>
    <t>Gaia Doodh Toned 500 ML</t>
  </si>
  <si>
    <t>1Pkt Free per Crate</t>
  </si>
  <si>
    <t>Rate Based</t>
  </si>
  <si>
    <t>Gaia Cow Milk 500ML</t>
  </si>
  <si>
    <t xml:space="preserve">Gaia Dahi Cup 200g </t>
  </si>
  <si>
    <t>1Cup Free per Box</t>
  </si>
  <si>
    <t xml:space="preserve">Gaia Dahi Pouch 200g </t>
  </si>
  <si>
    <t>10Pkt Free per Crate</t>
  </si>
  <si>
    <t xml:space="preserve">Gaia Dahi Pouch 400g </t>
  </si>
  <si>
    <t>5Pkt Free per Crate</t>
  </si>
  <si>
    <t xml:space="preserve">Gaia Dahi Pouch 1 Kg </t>
  </si>
  <si>
    <t xml:space="preserve">Gaia Dahi Pouch 5 Kg </t>
  </si>
  <si>
    <t>Rs.30 @10crt</t>
  </si>
  <si>
    <t xml:space="preserve">Gaia Dahi Bucket 5 Kg </t>
  </si>
  <si>
    <t>Discount Rs.25/Bkt if buy 5bkt</t>
  </si>
  <si>
    <t>Rs.15 @5bkt</t>
  </si>
  <si>
    <t xml:space="preserve">Gaia Dahi Bucket 15 Kg </t>
  </si>
  <si>
    <t xml:space="preserve">Gaia Kadhi Dahi Pouch 200g </t>
  </si>
  <si>
    <t xml:space="preserve">Gaia Kadhi Dahi Pouch 1 Kg </t>
  </si>
  <si>
    <t xml:space="preserve">Gaia Kadhi Dahi Pouch 5 Kg </t>
  </si>
  <si>
    <t>Discount Rs.50/Crate</t>
  </si>
  <si>
    <t xml:space="preserve">Gaia Kadhi Dahi Bucket 15 Kg </t>
  </si>
  <si>
    <t xml:space="preserve">Gaia Lychee Dahi Cup 90g </t>
  </si>
  <si>
    <t xml:space="preserve">Gaia Sweet Lassi Pouch 180 ml </t>
  </si>
  <si>
    <t xml:space="preserve">Gaia Sweet Lassi Glass 180 ml </t>
  </si>
  <si>
    <t>1Box Free per 12 Box</t>
  </si>
  <si>
    <t>1Box Free per 15 Box</t>
  </si>
  <si>
    <t xml:space="preserve">Gaia Mango Lassi Glass 180 ml </t>
  </si>
  <si>
    <t>1Box Free per 10 Box</t>
  </si>
  <si>
    <t>Gaia Masala Chaas Glass 180 ml</t>
  </si>
  <si>
    <t>Gaia Shahi Rabdi Box</t>
  </si>
  <si>
    <t>2Cup Free per Box</t>
  </si>
  <si>
    <t>Gaia Shahi Rabdi Tray</t>
  </si>
  <si>
    <t>1Cup Free per Tray</t>
  </si>
  <si>
    <t xml:space="preserve">Gaia Milk Peda 200g </t>
  </si>
  <si>
    <t xml:space="preserve">Gaia Kesar Peda 200g </t>
  </si>
  <si>
    <t xml:space="preserve">Gaia Brown Khowa Unsweetend </t>
  </si>
  <si>
    <t> </t>
  </si>
  <si>
    <t>Gaia Malai Paneer 200g</t>
  </si>
  <si>
    <t xml:space="preserve">Rs.7/pc Discount per 10pc </t>
  </si>
  <si>
    <t>Rs.5 @15pcs</t>
  </si>
  <si>
    <t xml:space="preserve">Gaia Malai Paneer 500g </t>
  </si>
  <si>
    <t xml:space="preserve">Gaia Malai Paneer 1 Kg </t>
  </si>
  <si>
    <t>1Pc 500g Paneer Free with/10pc</t>
  </si>
  <si>
    <t>Loose Paneer</t>
  </si>
  <si>
    <t>Gaia Premium Ghee 200 ML JAR</t>
  </si>
  <si>
    <t>Desi &amp; Cow Ghee Jar
All SKU 63/Ltr</t>
  </si>
  <si>
    <t>Gaia Premium Ghee 500 ML JAR</t>
  </si>
  <si>
    <t>Gaia Premium Ghee 1 Ltr JAR</t>
  </si>
  <si>
    <t>Gaia Premium Ghee 5 LTR JAR</t>
  </si>
  <si>
    <t>Gaia Cow Ghee 200 ML JAR</t>
  </si>
  <si>
    <t>Gaia Cow Ghee 500 ML JAR</t>
  </si>
  <si>
    <t>Gaia Cow Ghee 1 Ltr JAR</t>
  </si>
  <si>
    <t>Gaia Cow 1Ltr CEKA</t>
  </si>
  <si>
    <t>Desi &amp; Cow Ceka Pack
All SKU 55/Ltr</t>
  </si>
  <si>
    <t>Gaia Ghee 1Ltr CEKA</t>
  </si>
  <si>
    <t>Gaia Premium Milk UHT Tetra Pack 1 Ltr</t>
  </si>
  <si>
    <t>Slab Scheme</t>
  </si>
  <si>
    <t>Gaia Lite Milk UHT Tetra Pack 1Ltr</t>
  </si>
  <si>
    <t>Gaia Maxx UHT 120ml</t>
  </si>
  <si>
    <t>Gaia Maxx UHT 400ml</t>
  </si>
  <si>
    <t>Vachan</t>
  </si>
  <si>
    <t>Amul</t>
  </si>
  <si>
    <t>Dinshaw's</t>
  </si>
  <si>
    <t>Monther Dairy</t>
  </si>
  <si>
    <t>GST %</t>
  </si>
  <si>
    <t>Ex GST 5%</t>
  </si>
  <si>
    <t>Special Scheme GT</t>
  </si>
  <si>
    <t>D-Mart</t>
  </si>
  <si>
    <t>Apna Mart</t>
  </si>
  <si>
    <t>Rs.25/Crt Discount(Raigarh only)</t>
  </si>
  <si>
    <t xml:space="preserve">Gaia Muskmelon Dahi Cup 90g </t>
  </si>
  <si>
    <t>Gaia Shrikhand KE 80g</t>
  </si>
  <si>
    <t>Gaia Mishti Doi 80g</t>
  </si>
  <si>
    <t>Gaia Pure Cow 900ml CEKA</t>
  </si>
  <si>
    <t>Gaia Ghee 900ml CEKA</t>
  </si>
  <si>
    <t>Gaia</t>
  </si>
  <si>
    <t>ABIS</t>
  </si>
  <si>
    <t>Devbhog</t>
  </si>
  <si>
    <t>Ensure</t>
  </si>
  <si>
    <t>Nandnam</t>
  </si>
  <si>
    <t>Kaivalya</t>
  </si>
  <si>
    <t>Haldiram</t>
  </si>
  <si>
    <t>Milky Moo</t>
  </si>
  <si>
    <t>OMFED</t>
  </si>
  <si>
    <t>JGF</t>
  </si>
  <si>
    <t>Pragati Odisha</t>
  </si>
  <si>
    <t>S.No.</t>
  </si>
  <si>
    <t>SKU</t>
  </si>
  <si>
    <t>RT
Billing</t>
  </si>
  <si>
    <t>DB 
Billing</t>
  </si>
  <si>
    <t>Net After Scheme</t>
  </si>
  <si>
    <t>Diff</t>
  </si>
  <si>
    <t>UNO</t>
  </si>
  <si>
    <t>Taaza</t>
  </si>
  <si>
    <t>Ahar500</t>
  </si>
  <si>
    <t>500Ml</t>
  </si>
  <si>
    <t>1ltr</t>
  </si>
  <si>
    <t>CM 500</t>
  </si>
  <si>
    <t xml:space="preserve">Gaia Dahi Cup 90g </t>
  </si>
  <si>
    <t>85g</t>
  </si>
  <si>
    <t>100g</t>
  </si>
  <si>
    <t>125g</t>
  </si>
  <si>
    <t>250g</t>
  </si>
  <si>
    <t>200g</t>
  </si>
  <si>
    <t>400g</t>
  </si>
  <si>
    <t>1Kg</t>
  </si>
  <si>
    <t>190g</t>
  </si>
  <si>
    <t>10Kg</t>
  </si>
  <si>
    <t>Rose</t>
  </si>
  <si>
    <t>200ml</t>
  </si>
  <si>
    <t>200Ml</t>
  </si>
  <si>
    <t xml:space="preserve">Gaia Strawberry Lassi Glass 180 ml </t>
  </si>
  <si>
    <t xml:space="preserve">Gaia Masala Chaas Pouch 200 ml </t>
  </si>
  <si>
    <t>180ml</t>
  </si>
  <si>
    <t>500g</t>
  </si>
  <si>
    <t>100g K</t>
  </si>
  <si>
    <t>100 g E</t>
  </si>
  <si>
    <t>100 g</t>
  </si>
  <si>
    <t>160 g</t>
  </si>
  <si>
    <t>Gold Milk 160ML</t>
  </si>
  <si>
    <t>Amul Gold</t>
  </si>
  <si>
    <t>Gold Milk 500ML</t>
  </si>
  <si>
    <t>FCM Gold</t>
  </si>
  <si>
    <t>Sarvottam</t>
  </si>
  <si>
    <t>Gold Milk 1Ltr</t>
  </si>
  <si>
    <t>Gold Milk 6Ltr</t>
  </si>
  <si>
    <t>New Articles to be Listed</t>
  </si>
  <si>
    <t>D Mart Price</t>
  </si>
  <si>
    <t>Scheme</t>
  </si>
  <si>
    <t>1+1</t>
  </si>
  <si>
    <t>30/Ltr</t>
  </si>
  <si>
    <t>Net Rate</t>
  </si>
  <si>
    <t>Apna Mart Price Effective from 1st Mar'25</t>
  </si>
  <si>
    <t>Net Rate
After Scheme</t>
  </si>
  <si>
    <t>Rs.4/Ltr Discount</t>
  </si>
  <si>
    <t>Rs.5/pc Discount</t>
  </si>
  <si>
    <t>Rs.2/pc Discount</t>
  </si>
  <si>
    <t>Rs.10/pc Discount</t>
  </si>
  <si>
    <t>Rs.7/pc Discount</t>
  </si>
  <si>
    <t>Rs.15/pc Discount</t>
  </si>
  <si>
    <t>Old Slab</t>
  </si>
  <si>
    <t>New Slab</t>
  </si>
  <si>
    <t>Goverdhan</t>
  </si>
  <si>
    <t>Patanjali</t>
  </si>
  <si>
    <t>Milky Mist</t>
  </si>
  <si>
    <t>Mother Dary</t>
  </si>
  <si>
    <t>OLD GST %</t>
  </si>
  <si>
    <t>MRP (old)</t>
  </si>
  <si>
    <t>RT billing rate (by DB)</t>
  </si>
  <si>
    <t>RT margin %</t>
  </si>
  <si>
    <t>DB billing rate</t>
  </si>
  <si>
    <t>DB margin %</t>
  </si>
  <si>
    <t>DB Base Rate (Ex Gst)</t>
  </si>
  <si>
    <t xml:space="preserve"> NEW GST %</t>
  </si>
  <si>
    <t>NEW MRP</t>
  </si>
  <si>
    <t>DB Billing Rate (incl gst)</t>
  </si>
  <si>
    <t>DB Base Rate (excl GST)</t>
  </si>
  <si>
    <t>Ghee Pouch 20ml</t>
  </si>
  <si>
    <t>Green D mart &amp; other SKM</t>
  </si>
  <si>
    <t>Anik</t>
  </si>
  <si>
    <t>Dholpur</t>
  </si>
  <si>
    <t>Milky misth</t>
  </si>
  <si>
    <t>SP</t>
  </si>
  <si>
    <t>Desi Ghee 200 Ml Jar</t>
  </si>
  <si>
    <t>Desi Ghee Jar</t>
  </si>
  <si>
    <t>Desi Ghee 500 Ml Jar</t>
  </si>
  <si>
    <t>Desi Ghee 1Ltr Ml Jar</t>
  </si>
  <si>
    <t>Desi Ghee 5Ltr Ml Jar</t>
  </si>
  <si>
    <t>Cow Ghee 200 Ml Jar</t>
  </si>
  <si>
    <t>Cow Ghee Jar</t>
  </si>
  <si>
    <t>Cow Ghee 500 Ml Jar</t>
  </si>
  <si>
    <t>Cow Ghee 1Ltr Ml Jar</t>
  </si>
  <si>
    <t>Cow Ghee 5Ltr Ml Jar</t>
  </si>
  <si>
    <t>Desi Ghee Ceka</t>
  </si>
  <si>
    <t>Desi Ghee 200 Ml Ceka</t>
  </si>
  <si>
    <t>Desi Ghee 500 Ml Ceka</t>
  </si>
  <si>
    <t>Desi Ghee 900 Ml Ceka</t>
  </si>
  <si>
    <t>Desi Ghee 1Ltr Ml Ceka</t>
  </si>
  <si>
    <t xml:space="preserve"> D-599/Skm-572 </t>
  </si>
  <si>
    <t>Desi Ghee 5Ltr Ml Ceka</t>
  </si>
  <si>
    <t>Cow Ghee Ceka</t>
  </si>
  <si>
    <t>Cow Ghee 450 Ml Ceka</t>
  </si>
  <si>
    <t>Cow Ghee 500 Ml Ceka</t>
  </si>
  <si>
    <t>Cow Ghee 900 Ml Ceka</t>
  </si>
  <si>
    <t>Cow Ghee 1Ltr Ml Ceka</t>
  </si>
  <si>
    <t xml:space="preserve"> D-649/Skm-603 </t>
  </si>
  <si>
    <t>Cow Ghee 5Ltr Ml Ceka</t>
  </si>
  <si>
    <t>Desi Ghee Tin</t>
  </si>
  <si>
    <t>Desi Ghee 500 Ml Tin</t>
  </si>
  <si>
    <t>Desi Ghee 1Ltr Ml Tin</t>
  </si>
  <si>
    <t>Desi Ghee 5Ltr Ml Tin</t>
  </si>
  <si>
    <t>Cow Ghee Tin</t>
  </si>
  <si>
    <t>Cow Ghee 500 Ml Tin</t>
  </si>
  <si>
    <t>Cow Ghee 1Ltr Ml Tin</t>
  </si>
  <si>
    <t>Cow Ghee 5Ltr Ml Tin</t>
  </si>
  <si>
    <t>Gaia Gold Milk UHT Tetra Pack 1 Ltr</t>
  </si>
  <si>
    <t>Product Code</t>
  </si>
  <si>
    <t>Gaia Premium Desi Ghee 20 ML Pouch</t>
  </si>
  <si>
    <t>50*6</t>
  </si>
  <si>
    <t>100/Jar</t>
  </si>
  <si>
    <t>Nadnanam</t>
  </si>
  <si>
    <t>Gaia Cow 900ml CEKA</t>
  </si>
  <si>
    <t>Scheme for</t>
  </si>
  <si>
    <t>Remark</t>
  </si>
  <si>
    <t>Gaia Maxx UHT 110ml</t>
  </si>
  <si>
    <t>20Ltr For GT</t>
  </si>
  <si>
    <t>Dmart Scheme</t>
  </si>
  <si>
    <t>New Price List Effective from -</t>
  </si>
  <si>
    <t>1+1 Box</t>
  </si>
  <si>
    <t>Anantra Mart</t>
  </si>
  <si>
    <t>Category</t>
  </si>
  <si>
    <t>Milk</t>
  </si>
  <si>
    <t>Fermented Product</t>
  </si>
  <si>
    <t>Dessert</t>
  </si>
  <si>
    <t>Gaia Paneer</t>
  </si>
  <si>
    <t>Desi Ghee</t>
  </si>
  <si>
    <t>Cow Ghee</t>
  </si>
  <si>
    <t>UHT ESL</t>
  </si>
  <si>
    <t>UHT Tetra</t>
  </si>
  <si>
    <t>Khowa</t>
  </si>
  <si>
    <t>Bilaspur Only</t>
  </si>
  <si>
    <t>Rs.25/Crt (Raigarh only)</t>
  </si>
  <si>
    <t>Targt Group</t>
  </si>
  <si>
    <t>Buyer</t>
  </si>
  <si>
    <t>Horeca</t>
  </si>
  <si>
    <t>Aditi Ispat and Power Private Limited</t>
  </si>
  <si>
    <t>Ambika Realtech</t>
  </si>
  <si>
    <t>Aryavarta Hospitality</t>
  </si>
  <si>
    <t>Chartered Hotels Private Limited</t>
  </si>
  <si>
    <t>Rasvi Foods (Rama World)</t>
  </si>
  <si>
    <t>Real Combo</t>
  </si>
  <si>
    <t>Shree Sai Services</t>
  </si>
  <si>
    <t>Shubharambh Food Ventures</t>
  </si>
  <si>
    <t>Sodexo India Services Pvt Ltd</t>
  </si>
  <si>
    <t>Sukh Sagar Restaurants</t>
  </si>
  <si>
    <t>CM</t>
  </si>
  <si>
    <t>TM</t>
  </si>
  <si>
    <t>Omay</t>
  </si>
  <si>
    <t>Name</t>
  </si>
  <si>
    <t>Maira</t>
  </si>
  <si>
    <t>Clark Inn</t>
  </si>
  <si>
    <t>Hotel Hayatt</t>
  </si>
  <si>
    <t>Rama Word</t>
  </si>
  <si>
    <t>Kalinga univercity</t>
  </si>
  <si>
    <t>Cconceptt Hotels &amp; Resorts</t>
  </si>
  <si>
    <t>Sangria</t>
  </si>
  <si>
    <t>Old Rate</t>
  </si>
  <si>
    <t>New Rate</t>
  </si>
  <si>
    <t>Retail</t>
  </si>
  <si>
    <t>Distributor</t>
  </si>
  <si>
    <t>Gaia Ghee 200 ML JAR</t>
  </si>
  <si>
    <t>Gaia Ghee 500 ML JAR</t>
  </si>
  <si>
    <t>Gaia Ghee Desi CEKA 1Ltr</t>
  </si>
  <si>
    <t>Gaia Ghee 1 Ltr JAR</t>
  </si>
  <si>
    <t>Gaia Ghee 5 LTR JAR</t>
  </si>
  <si>
    <t xml:space="preserve">Gaia Cow CEKA 1Ltr </t>
  </si>
  <si>
    <t>United Foood</t>
  </si>
  <si>
    <t>New Price List Effective from - 05 Aug 26  (All Prices are including GST)</t>
  </si>
  <si>
    <t>New price effective from 5th Aug Billing Date</t>
  </si>
  <si>
    <t>Party Name</t>
  </si>
  <si>
    <t>Town Name</t>
  </si>
  <si>
    <t>All Area</t>
  </si>
  <si>
    <t>Jalaram Marketing</t>
  </si>
  <si>
    <t>Rajnandgaon</t>
  </si>
  <si>
    <t>Avi Trader/Natraj Traders</t>
  </si>
  <si>
    <t>Korba</t>
  </si>
  <si>
    <t>Ashapura kitchen</t>
  </si>
  <si>
    <t>Bhilai</t>
  </si>
  <si>
    <t>Goyal Ventures</t>
  </si>
  <si>
    <t>Raipur-Inst</t>
  </si>
  <si>
    <t>Neverno Allied Services Pvt.Ltd</t>
  </si>
  <si>
    <t>United Foodbrands Limited</t>
  </si>
  <si>
    <t>Aaranyam Enterprises</t>
  </si>
  <si>
    <t>Kanhaiya Caterers</t>
  </si>
  <si>
    <t>Godavari Power and Ispat Limited</t>
  </si>
  <si>
    <t>Anna Da Dhaba</t>
  </si>
  <si>
    <t>Tipsy Events</t>
  </si>
  <si>
    <t>Dawoodi Bohra Jamaat Trust</t>
  </si>
  <si>
    <t>Chahna Palace</t>
  </si>
  <si>
    <t>Ciaana the Bakers</t>
  </si>
  <si>
    <t>MS hospitality</t>
  </si>
  <si>
    <t>Kanger Valley Academy school</t>
  </si>
  <si>
    <t xml:space="preserve">BS  Hospitality Service Pind Balluchi Restaurant </t>
  </si>
  <si>
    <t>Ankit Traders</t>
  </si>
  <si>
    <t>Dhamtari</t>
  </si>
  <si>
    <t>Sai Kripa Dairy</t>
  </si>
  <si>
    <t>Sarita Kitchen</t>
  </si>
  <si>
    <t>Dmart Milk till 31 sep</t>
  </si>
  <si>
    <t>Retail Display Scheme
5 Ltr -  Rs.200/-
10Ltr - Rs.500/-
1Box - Rs.1000/-
T&amp;C Apply</t>
  </si>
  <si>
    <t>The Lunchbox</t>
  </si>
  <si>
    <t>Basic DB Rate CG</t>
  </si>
  <si>
    <t>Basic DB Rate OD</t>
  </si>
  <si>
    <t>Till 30th Sep</t>
  </si>
  <si>
    <t>Till 28th Aug</t>
  </si>
  <si>
    <t>Reliance</t>
  </si>
  <si>
    <t>Shubham K Mart</t>
  </si>
  <si>
    <t>Local Mart</t>
  </si>
  <si>
    <t>Shree Sai Services Private Limited IIM</t>
  </si>
  <si>
    <t>Shree Sai Services Private Limited</t>
  </si>
  <si>
    <t>Shri Bajrang Power and Ispat Ltd</t>
  </si>
  <si>
    <t>BS  Hospitality Service</t>
  </si>
  <si>
    <t>1 Dollarmoffee Private Limited</t>
  </si>
  <si>
    <t>M S Hospitality</t>
  </si>
  <si>
    <t>Qantas Hospitality</t>
  </si>
  <si>
    <t>Natraj Traders</t>
  </si>
  <si>
    <t>Artech Hospitalities</t>
  </si>
  <si>
    <t>Yaaran Da Adda</t>
  </si>
  <si>
    <t>MPS Kitchen</t>
  </si>
  <si>
    <t>Hotel Babylon INN Private Limited</t>
  </si>
  <si>
    <t>Universal Corp</t>
  </si>
  <si>
    <t xml:space="preserve">GHEE 15 KG </t>
  </si>
  <si>
    <t>Annapurna Veriety</t>
  </si>
  <si>
    <t>Tapaswnini Enterprises</t>
  </si>
  <si>
    <t>Reliance Retail Limited 2026-27</t>
  </si>
  <si>
    <t>Shubham K Mart Pvt Ltd 2026-27</t>
  </si>
  <si>
    <t>Avenue Supermarts Ltd 2026-27</t>
  </si>
  <si>
    <t>Shree Mega Mart</t>
  </si>
  <si>
    <t>Ashapura Kitchen Novelty</t>
  </si>
  <si>
    <t>MFS Scheme for</t>
  </si>
  <si>
    <t>M.P.S Agency</t>
  </si>
  <si>
    <t>SS</t>
  </si>
  <si>
    <t>IT</t>
  </si>
  <si>
    <t>SS &amp; Other Marging</t>
  </si>
  <si>
    <t>Milk 3/crt
Fresh 1%</t>
  </si>
  <si>
    <t>Toned Milk 25/crt</t>
  </si>
  <si>
    <t>All DB</t>
  </si>
  <si>
    <t>DB-under M.P.S Agency</t>
  </si>
  <si>
    <t>Raigarh All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</si>
</sst>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center" vertical="center"/>
    </xf>
    <xf numFmtId="43" fontId="1" fillId="0" borderId="1" xfId="1" applyFont="1" applyFill="1" applyBorder="1" applyAlignment="1">
      <alignment horizontal="center" vertical="center"/>
    </xf>
    <xf numFmtId="9" fontId="1" fillId="0" borderId="1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43" fontId="1" fillId="0" borderId="1" xfId="1" applyFont="1" applyBorder="1" applyAlignment="1">
      <alignment vertical="center"/>
    </xf>
    <xf numFmtId="43" fontId="1" fillId="0" borderId="1" xfId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 wrapText="1"/>
    </xf>
    <xf numFmtId="43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4" fillId="3" borderId="1" xfId="0" applyNumberFormat="1" applyFont="1" applyFill="1" applyBorder="1" applyAlignment="1">
      <alignment horizontal="right"/>
    </xf>
    <xf numFmtId="43" fontId="5" fillId="0" borderId="1" xfId="1" applyFont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right"/>
    </xf>
    <xf numFmtId="2" fontId="4" fillId="7" borderId="1" xfId="0" applyNumberFormat="1" applyFont="1" applyFill="1" applyBorder="1" applyAlignment="1">
      <alignment horizontal="right"/>
    </xf>
    <xf numFmtId="2" fontId="4" fillId="8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43" fontId="1" fillId="0" borderId="1" xfId="1" applyFont="1" applyFill="1" applyBorder="1" applyAlignment="1">
      <alignment vertical="center"/>
    </xf>
    <xf numFmtId="9" fontId="4" fillId="0" borderId="1" xfId="2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2" fontId="4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3" fontId="4" fillId="11" borderId="1" xfId="1" applyFont="1" applyFill="1" applyBorder="1" applyAlignment="1">
      <alignment horizontal="right" vertical="center"/>
    </xf>
    <xf numFmtId="43" fontId="1" fillId="12" borderId="1" xfId="1" applyFont="1" applyFill="1" applyBorder="1" applyAlignment="1">
      <alignment horizontal="left" vertical="center"/>
    </xf>
    <xf numFmtId="43" fontId="1" fillId="13" borderId="1" xfId="1" applyFont="1" applyFill="1" applyBorder="1" applyAlignment="1">
      <alignment horizontal="left" vertical="center"/>
    </xf>
    <xf numFmtId="43" fontId="1" fillId="5" borderId="1" xfId="1" applyFont="1" applyFill="1" applyBorder="1" applyAlignment="1">
      <alignment horizontal="left" vertical="center"/>
    </xf>
    <xf numFmtId="43" fontId="1" fillId="14" borderId="1" xfId="1" applyFont="1" applyFill="1" applyBorder="1" applyAlignment="1">
      <alignment horizontal="left" vertical="center"/>
    </xf>
    <xf numFmtId="43" fontId="4" fillId="15" borderId="1" xfId="1" applyFont="1" applyFill="1" applyBorder="1" applyAlignment="1">
      <alignment horizontal="right" vertical="center"/>
    </xf>
    <xf numFmtId="43" fontId="4" fillId="15" borderId="1" xfId="1" applyFont="1" applyFill="1" applyBorder="1" applyAlignment="1">
      <alignment vertical="center"/>
    </xf>
    <xf numFmtId="43" fontId="4" fillId="13" borderId="1" xfId="1" applyFont="1" applyFill="1" applyBorder="1" applyAlignment="1">
      <alignment horizontal="right" vertical="center"/>
    </xf>
    <xf numFmtId="43" fontId="4" fillId="13" borderId="1" xfId="1" applyFont="1" applyFill="1" applyBorder="1" applyAlignment="1">
      <alignment vertical="center"/>
    </xf>
    <xf numFmtId="43" fontId="4" fillId="16" borderId="1" xfId="1" applyFont="1" applyFill="1" applyBorder="1" applyAlignment="1">
      <alignment horizontal="right" vertical="center"/>
    </xf>
    <xf numFmtId="43" fontId="4" fillId="16" borderId="1" xfId="1" applyFont="1" applyFill="1" applyBorder="1" applyAlignment="1">
      <alignment vertical="center"/>
    </xf>
    <xf numFmtId="43" fontId="4" fillId="5" borderId="1" xfId="1" applyFont="1" applyFill="1" applyBorder="1" applyAlignment="1">
      <alignment horizontal="right" vertical="center"/>
    </xf>
    <xf numFmtId="43" fontId="4" fillId="5" borderId="1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43" fontId="4" fillId="15" borderId="1" xfId="1" applyFont="1" applyFill="1" applyBorder="1" applyAlignment="1">
      <alignment vertical="center" wrapText="1"/>
    </xf>
    <xf numFmtId="43" fontId="4" fillId="13" borderId="1" xfId="1" applyFont="1" applyFill="1" applyBorder="1" applyAlignment="1">
      <alignment vertical="center" wrapText="1"/>
    </xf>
    <xf numFmtId="43" fontId="4" fillId="16" borderId="1" xfId="1" applyFont="1" applyFill="1" applyBorder="1" applyAlignment="1">
      <alignment vertical="center" wrapText="1"/>
    </xf>
    <xf numFmtId="43" fontId="4" fillId="5" borderId="1" xfId="1" applyFont="1" applyFill="1" applyBorder="1" applyAlignment="1">
      <alignment vertical="center" wrapText="1"/>
    </xf>
    <xf numFmtId="43" fontId="4" fillId="3" borderId="1" xfId="1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0" borderId="1" xfId="0" applyBorder="1"/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9" fontId="4" fillId="0" borderId="1" xfId="2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9" fontId="0" fillId="0" borderId="0" xfId="0" applyNumberFormat="1"/>
    <xf numFmtId="43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2" fillId="0" borderId="11" xfId="0" applyFont="1" applyBorder="1"/>
    <xf numFmtId="0" fontId="12" fillId="0" borderId="11" xfId="0" applyFont="1" applyBorder="1" applyAlignment="1">
      <alignment horizontal="center"/>
    </xf>
    <xf numFmtId="0" fontId="12" fillId="0" borderId="6" xfId="0" applyFont="1" applyBorder="1"/>
    <xf numFmtId="164" fontId="12" fillId="0" borderId="11" xfId="0" applyNumberFormat="1" applyFont="1" applyBorder="1"/>
    <xf numFmtId="164" fontId="12" fillId="17" borderId="11" xfId="0" applyNumberFormat="1" applyFont="1" applyFill="1" applyBorder="1"/>
    <xf numFmtId="164" fontId="12" fillId="17" borderId="1" xfId="0" applyNumberFormat="1" applyFont="1" applyFill="1" applyBorder="1"/>
    <xf numFmtId="164" fontId="12" fillId="17" borderId="9" xfId="0" applyNumberFormat="1" applyFont="1" applyFill="1" applyBorder="1"/>
    <xf numFmtId="164" fontId="12" fillId="17" borderId="6" xfId="0" applyNumberFormat="1" applyFont="1" applyFill="1" applyBorder="1"/>
    <xf numFmtId="164" fontId="12" fillId="18" borderId="11" xfId="0" applyNumberFormat="1" applyFont="1" applyFill="1" applyBorder="1"/>
    <xf numFmtId="0" fontId="12" fillId="0" borderId="5" xfId="0" applyFont="1" applyBorder="1"/>
    <xf numFmtId="164" fontId="12" fillId="0" borderId="11" xfId="0" applyNumberFormat="1" applyFont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43" fontId="5" fillId="0" borderId="6" xfId="0" applyNumberFormat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11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19" borderId="1" xfId="0" applyFont="1" applyFill="1" applyBorder="1"/>
    <xf numFmtId="0" fontId="2" fillId="0" borderId="1" xfId="0" applyFont="1" applyBorder="1"/>
    <xf numFmtId="43" fontId="0" fillId="0" borderId="1" xfId="1" applyFont="1" applyBorder="1"/>
    <xf numFmtId="0" fontId="2" fillId="19" borderId="1" xfId="0" applyFont="1" applyFill="1" applyBorder="1" applyAlignment="1">
      <alignment horizontal="center"/>
    </xf>
    <xf numFmtId="0" fontId="2" fillId="0" borderId="0" xfId="0" applyFont="1"/>
    <xf numFmtId="0" fontId="17" fillId="2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43" fontId="18" fillId="0" borderId="1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2" fontId="3" fillId="12" borderId="1" xfId="0" applyNumberFormat="1" applyFont="1" applyFill="1" applyBorder="1" applyAlignment="1">
      <alignment horizontal="right" vertical="center"/>
    </xf>
    <xf numFmtId="2" fontId="4" fillId="12" borderId="1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43" fontId="5" fillId="0" borderId="1" xfId="0" applyNumberFormat="1" applyFont="1" applyBorder="1" applyAlignment="1">
      <alignment horizontal="center" vertical="center" wrapText="1"/>
    </xf>
    <xf numFmtId="43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43" fontId="5" fillId="0" borderId="4" xfId="0" applyNumberFormat="1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43" fontId="5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43" fontId="4" fillId="0" borderId="5" xfId="1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0" fontId="2" fillId="15" borderId="7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12" fillId="0" borderId="5" xfId="0" applyFont="1" applyBorder="1"/>
    <xf numFmtId="0" fontId="12" fillId="0" borderId="6" xfId="0" applyFont="1" applyBorder="1"/>
    <xf numFmtId="0" fontId="12" fillId="0" borderId="1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06/relationships/rdRichValueStructure" Target="richData/rdrichvaluestructure.xml"/></Relationships>
</file>

<file path=xl/documenttasks/documenttask1.xml><?xml version="1.0" encoding="utf-8"?>
<Tasks xmlns="http://schemas.microsoft.com/office/tasks/2019/documenttasks">
  <Task id="{DCF891FF-8BAF-49F1-B1A8-BD22FA817B9F}">
    <Anchor>
      <Comment id="{72A66ECE-2E68-4232-AAED-922501F1E3A2}"/>
    </Anchor>
    <History>
      <Event time="2025-09-17T18:20:41.40" id="{AED130FD-517F-4B73-863B-48501A5FA9FE}">
        <Attribution userId="S::mohit@vamaadairy.com::b69ab010-7413-4462-9902-55ef09aef7d8" userName="Mohit Dhariwal" userProvider="AD"/>
        <Anchor>
          <Comment id="{72A66ECE-2E68-4232-AAED-922501F1E3A2}"/>
        </Anchor>
        <Create/>
      </Event>
      <Event time="2025-09-17T18:20:41.40" id="{B9F5A885-B7C9-4945-AFA4-99741F637863}">
        <Attribution userId="S::mohit@vamaadairy.com::b69ab010-7413-4462-9902-55ef09aef7d8" userName="Mohit Dhariwal" userProvider="AD"/>
        <Anchor>
          <Comment id="{72A66ECE-2E68-4232-AAED-922501F1E3A2}"/>
        </Anchor>
        <Assign userId="S::mis@vamaadairy.com::6f058064-b280-4297-bd14-821c29ac67c6" userName="Mis" userProvider="AD"/>
      </Event>
      <Event time="2025-09-17T18:20:41.40" id="{AE6BD84C-3614-4B3B-9188-3909FF5060A8}">
        <Attribution userId="S::mohit@vamaadairy.com::b69ab010-7413-4462-9902-55ef09aef7d8" userName="Mohit Dhariwal" userProvider="AD"/>
        <Anchor>
          <Comment id="{72A66ECE-2E68-4232-AAED-922501F1E3A2}"/>
        </Anchor>
        <SetTitle title="@Mis add Gaia's rates also here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amaa\OneDrive%20-%20Vamaa%20Dairy%20Private%20Limited\Desktop\Recibo%20Rate%20&amp;%20Slab\PRODUCT_MASTER_2025-09-27_TO_2025-09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Master"/>
    </sheetNames>
    <sheetDataSet>
      <sheetData sheetId="0" refreshError="1">
        <row r="1">
          <cell r="F1" t="str">
            <v>Product Code</v>
          </cell>
          <cell r="G1" t="str">
            <v>Tax Code</v>
          </cell>
          <cell r="H1" t="str">
            <v>SKU Name</v>
          </cell>
          <cell r="I1" t="str">
            <v>SKU Code</v>
          </cell>
          <cell r="J1" t="str">
            <v>SKU Size</v>
          </cell>
          <cell r="K1" t="str">
            <v>Description</v>
          </cell>
          <cell r="L1" t="str">
            <v>MRP</v>
          </cell>
        </row>
        <row r="2">
          <cell r="F2">
            <v>999</v>
          </cell>
          <cell r="G2" t="str">
            <v>4011010</v>
          </cell>
          <cell r="H2" t="str">
            <v>FGB2C_125 GAIA COW MILK 500 ML</v>
          </cell>
          <cell r="I2" t="str">
            <v>GAIA COW MILK 500 ML</v>
          </cell>
          <cell r="L2">
            <v>29</v>
          </cell>
        </row>
        <row r="3">
          <cell r="F3">
            <v>1003</v>
          </cell>
          <cell r="G3" t="str">
            <v>4011010</v>
          </cell>
          <cell r="H3" t="str">
            <v>FGB2C_01 GAIA TONED MILK 500 ML</v>
          </cell>
          <cell r="I3" t="str">
            <v>GAIA TONED MILK 500 ML</v>
          </cell>
          <cell r="L3">
            <v>29</v>
          </cell>
        </row>
        <row r="4">
          <cell r="F4">
            <v>1005</v>
          </cell>
          <cell r="G4" t="str">
            <v>4069000</v>
          </cell>
          <cell r="H4" t="str">
            <v>FGB2C_15 GAIA PANEER 200 G</v>
          </cell>
          <cell r="I4" t="str">
            <v>GAIA PANEER 200 G</v>
          </cell>
          <cell r="L4">
            <v>86</v>
          </cell>
        </row>
        <row r="5">
          <cell r="F5">
            <v>1006</v>
          </cell>
          <cell r="G5" t="str">
            <v>4069000</v>
          </cell>
          <cell r="H5" t="str">
            <v>FGB2C_17 GAIA PANEER 500 G</v>
          </cell>
          <cell r="I5" t="str">
            <v>GAIA PANEER 500 G</v>
          </cell>
          <cell r="L5">
            <v>191</v>
          </cell>
        </row>
        <row r="6">
          <cell r="F6">
            <v>1007</v>
          </cell>
          <cell r="G6" t="str">
            <v>4069000</v>
          </cell>
          <cell r="H6" t="str">
            <v>FGB2C_16 GAIA PANEER 1 KG</v>
          </cell>
          <cell r="I6" t="str">
            <v>GAIA PANEER 1 KG</v>
          </cell>
          <cell r="L6">
            <v>376</v>
          </cell>
        </row>
        <row r="7">
          <cell r="F7">
            <v>1008</v>
          </cell>
          <cell r="G7" t="str">
            <v>4069000</v>
          </cell>
          <cell r="H7" t="str">
            <v>FGB2C_121 LOOSE PANEER 1 KG</v>
          </cell>
          <cell r="I7" t="str">
            <v>LOOSE PANEER 1 KG</v>
          </cell>
          <cell r="L7">
            <v>300</v>
          </cell>
        </row>
        <row r="8">
          <cell r="F8">
            <v>1009</v>
          </cell>
          <cell r="G8" t="str">
            <v>4069000</v>
          </cell>
          <cell r="H8" t="str">
            <v>FGB2C_122 LOOSE PANEER 5 KG</v>
          </cell>
          <cell r="I8" t="str">
            <v>LOOSE PANEER 5 KG</v>
          </cell>
          <cell r="L8">
            <v>1500</v>
          </cell>
        </row>
        <row r="9">
          <cell r="F9">
            <v>1011</v>
          </cell>
          <cell r="G9" t="str">
            <v>04039090</v>
          </cell>
          <cell r="H9" t="str">
            <v>FGB2C_03 GAIA DAHI CUP 200 G</v>
          </cell>
          <cell r="I9" t="str">
            <v>GAIA DAHI CUP 200 G</v>
          </cell>
          <cell r="L9">
            <v>25</v>
          </cell>
        </row>
        <row r="10">
          <cell r="F10">
            <v>1012</v>
          </cell>
          <cell r="G10" t="str">
            <v>04039090</v>
          </cell>
          <cell r="H10" t="str">
            <v>FGB2C_04 GAIA DAHI POUCH 200 G</v>
          </cell>
          <cell r="I10" t="str">
            <v>GAIA DAHI POUCH 200 G</v>
          </cell>
          <cell r="L10">
            <v>18</v>
          </cell>
        </row>
        <row r="11">
          <cell r="F11">
            <v>1013</v>
          </cell>
          <cell r="G11" t="str">
            <v>04039090</v>
          </cell>
          <cell r="H11" t="str">
            <v>FGB2C_05 GAIA DAHI POUCH 400 G</v>
          </cell>
          <cell r="I11" t="str">
            <v>GAIA DAHI POUCH 400 G</v>
          </cell>
          <cell r="L11">
            <v>35</v>
          </cell>
        </row>
        <row r="12">
          <cell r="F12">
            <v>1014</v>
          </cell>
          <cell r="G12" t="str">
            <v>04039090</v>
          </cell>
          <cell r="H12" t="str">
            <v>FGB2C_06 GAIA DAHI POUCH 1 KG</v>
          </cell>
          <cell r="I12" t="str">
            <v>GAIA DAHI POUCH 1 KG</v>
          </cell>
          <cell r="L12">
            <v>75</v>
          </cell>
        </row>
        <row r="13">
          <cell r="F13">
            <v>1015</v>
          </cell>
          <cell r="G13" t="str">
            <v>04039090</v>
          </cell>
          <cell r="H13" t="str">
            <v>FGB2C_07 GAIA DAHI POUCH 5 KG</v>
          </cell>
          <cell r="I13" t="str">
            <v>GAIA DAHI POUCH 5 KG</v>
          </cell>
          <cell r="L13">
            <v>360</v>
          </cell>
        </row>
        <row r="14">
          <cell r="F14">
            <v>1016</v>
          </cell>
          <cell r="G14" t="str">
            <v>04039090</v>
          </cell>
          <cell r="H14" t="str">
            <v>FGB2C_09 GAIA DAHI BUCKET 15 KG</v>
          </cell>
          <cell r="I14" t="str">
            <v>GAIA DAHI BUCKET 15 KG</v>
          </cell>
          <cell r="L14">
            <v>1145</v>
          </cell>
        </row>
        <row r="15">
          <cell r="F15">
            <v>1017</v>
          </cell>
          <cell r="G15" t="str">
            <v>04039090</v>
          </cell>
          <cell r="H15" t="str">
            <v>FGB2C_25 GAIA LYCHEE DAHI 90 G</v>
          </cell>
          <cell r="I15" t="str">
            <v>GAIA LYCHEE DAHI 90 G</v>
          </cell>
          <cell r="L15">
            <v>20</v>
          </cell>
        </row>
        <row r="16">
          <cell r="F16">
            <v>1018</v>
          </cell>
          <cell r="G16" t="str">
            <v>04039090</v>
          </cell>
          <cell r="H16" t="str">
            <v>FGB2C_28 GAIA MUSKMELON DAHI 90 G</v>
          </cell>
          <cell r="I16" t="str">
            <v>GAIA MUSKMELON DAHI 90 G</v>
          </cell>
          <cell r="L16">
            <v>20</v>
          </cell>
        </row>
        <row r="17">
          <cell r="F17">
            <v>1019</v>
          </cell>
          <cell r="G17" t="str">
            <v>04039090</v>
          </cell>
          <cell r="H17" t="str">
            <v>FGB2C_11 GAIA KADHI DAHI POUCH 1 KG</v>
          </cell>
          <cell r="I17" t="str">
            <v>GAIA KADHI DAHI POUCH 1 KG</v>
          </cell>
          <cell r="L17">
            <v>60</v>
          </cell>
        </row>
        <row r="18">
          <cell r="F18">
            <v>1020</v>
          </cell>
          <cell r="G18" t="str">
            <v>04039090</v>
          </cell>
          <cell r="H18" t="str">
            <v>FGB2C_10 GAIA KADHI DAHI POUCH 200 G</v>
          </cell>
          <cell r="I18" t="str">
            <v>GAIA KADHI DAHI POUCH 200 G</v>
          </cell>
          <cell r="L18">
            <v>15</v>
          </cell>
        </row>
        <row r="19">
          <cell r="F19">
            <v>1021</v>
          </cell>
          <cell r="G19" t="str">
            <v>04039090</v>
          </cell>
          <cell r="H19" t="str">
            <v>FGB2C_12 GAIA KADHI DAHI POUCH 5 KG</v>
          </cell>
          <cell r="I19" t="str">
            <v>GAIA KADHI DAHI POUCH 5 KG</v>
          </cell>
          <cell r="L19">
            <v>305</v>
          </cell>
        </row>
        <row r="20">
          <cell r="F20">
            <v>1022</v>
          </cell>
          <cell r="G20" t="str">
            <v>04039090</v>
          </cell>
          <cell r="H20" t="str">
            <v>FGB2C_14 GAIA KADHI DAHI BUCKET 15 KG</v>
          </cell>
          <cell r="I20" t="str">
            <v>GAIA KADHI DAHI BUCKET 15 KG</v>
          </cell>
          <cell r="L20">
            <v>985</v>
          </cell>
        </row>
        <row r="21">
          <cell r="F21">
            <v>1023</v>
          </cell>
          <cell r="G21" t="str">
            <v>04039090</v>
          </cell>
          <cell r="H21" t="str">
            <v>FGB2C_37 GAIA LASSI GLASS 180 ML</v>
          </cell>
          <cell r="I21" t="str">
            <v>GAIA LASSI GLASS 180 ML</v>
          </cell>
          <cell r="L21">
            <v>25</v>
          </cell>
        </row>
        <row r="22">
          <cell r="F22">
            <v>1024</v>
          </cell>
          <cell r="G22" t="str">
            <v>04039090</v>
          </cell>
          <cell r="H22" t="str">
            <v>FGB2C_36 GAIA MANGO LASSI 180 ML</v>
          </cell>
          <cell r="I22" t="str">
            <v>GAIA MANGO LASSI 180 ML</v>
          </cell>
          <cell r="L22">
            <v>35</v>
          </cell>
        </row>
        <row r="23">
          <cell r="F23">
            <v>1025</v>
          </cell>
          <cell r="G23" t="str">
            <v>04039090</v>
          </cell>
          <cell r="H23" t="str">
            <v>FGB2C_35 GAIA STRAWBERRY LASSI 180 ML</v>
          </cell>
          <cell r="I23" t="str">
            <v>GAIA STRAWBERRY LASSI 180 ML</v>
          </cell>
          <cell r="L23">
            <v>35</v>
          </cell>
        </row>
        <row r="24">
          <cell r="F24">
            <v>1026</v>
          </cell>
          <cell r="G24" t="str">
            <v>04039090</v>
          </cell>
          <cell r="H24" t="str">
            <v>FGB2C_27 GAIA SWEET LASSI POUCH 180 ML</v>
          </cell>
          <cell r="I24" t="str">
            <v>GAIA SWEET LASSI POUCH 180 ML</v>
          </cell>
          <cell r="L24">
            <v>15</v>
          </cell>
        </row>
        <row r="25">
          <cell r="F25">
            <v>1027</v>
          </cell>
          <cell r="G25" t="str">
            <v>04039010</v>
          </cell>
          <cell r="H25" t="str">
            <v>FGB2C_31 GAIA MASALA CHAAS 200 ML POUCH</v>
          </cell>
          <cell r="I25" t="str">
            <v>GAIA MASALA CHAAS 200 ML POUCH</v>
          </cell>
          <cell r="L25">
            <v>7</v>
          </cell>
        </row>
        <row r="26">
          <cell r="F26">
            <v>1028</v>
          </cell>
          <cell r="G26" t="str">
            <v>04059020</v>
          </cell>
          <cell r="H26" t="str">
            <v>FGB2C_114 GAIA PREMIUM GHEE 100 ML JAR</v>
          </cell>
          <cell r="I26" t="str">
            <v>GAIA PREMIUM GHEE 100 ML JAR</v>
          </cell>
          <cell r="L26">
            <v>77</v>
          </cell>
        </row>
        <row r="27">
          <cell r="F27">
            <v>1029</v>
          </cell>
          <cell r="G27" t="str">
            <v>04059020</v>
          </cell>
          <cell r="H27" t="str">
            <v>FGB2C_115 GAIA PREMIUM DESI GHEE 200 ML JAR</v>
          </cell>
          <cell r="I27" t="str">
            <v>GAIA PREMIUM DESI GHEE 200 ML JAR</v>
          </cell>
          <cell r="L27">
            <v>142</v>
          </cell>
        </row>
        <row r="28">
          <cell r="F28">
            <v>1030</v>
          </cell>
          <cell r="G28" t="str">
            <v>04059020</v>
          </cell>
          <cell r="H28" t="str">
            <v>FGB2C_116 GAIA PREMIUM DESI GHEE 500 ML JAR</v>
          </cell>
          <cell r="I28" t="str">
            <v>GAIA PREMIUM DESI GHEE 500 ML JAR</v>
          </cell>
          <cell r="L28">
            <v>337</v>
          </cell>
        </row>
        <row r="29">
          <cell r="F29">
            <v>1031</v>
          </cell>
          <cell r="G29" t="str">
            <v>04059020</v>
          </cell>
          <cell r="H29" t="str">
            <v>FGB2C_117 GAIA PREMIUM DESI GHEE 1 LTR JAR</v>
          </cell>
          <cell r="I29" t="str">
            <v>GAIA PREMIUM DESI GHEE 1 LTR JAR</v>
          </cell>
          <cell r="L29">
            <v>665</v>
          </cell>
        </row>
        <row r="30">
          <cell r="F30">
            <v>1032</v>
          </cell>
          <cell r="G30" t="str">
            <v>04059020</v>
          </cell>
          <cell r="H30" t="str">
            <v>FGB2C_118 GAIA PREMIUM DESI GHEE 5 LTR JAR</v>
          </cell>
          <cell r="I30" t="str">
            <v>GAIA PREMIUM DESI GHEE 5 LTR JAR</v>
          </cell>
          <cell r="L30">
            <v>3280</v>
          </cell>
        </row>
        <row r="31">
          <cell r="F31">
            <v>1033</v>
          </cell>
          <cell r="G31" t="str">
            <v>04059020</v>
          </cell>
          <cell r="H31" t="str">
            <v>FGB2C_24 GAIA PREMIUM GHEE TIN 15 KG</v>
          </cell>
          <cell r="I31" t="str">
            <v>GAIA PREMIUM GHEE TIN 15 KG</v>
          </cell>
          <cell r="L31">
            <v>10750</v>
          </cell>
        </row>
        <row r="32">
          <cell r="F32">
            <v>1034</v>
          </cell>
          <cell r="G32" t="str">
            <v>4021010</v>
          </cell>
          <cell r="H32" t="str">
            <v>FGB2C_45 GAIA MILK PEDA 200 G</v>
          </cell>
          <cell r="I32" t="str">
            <v>GAIA MILK PEDA 200 G</v>
          </cell>
          <cell r="L32">
            <v>110</v>
          </cell>
        </row>
        <row r="33">
          <cell r="F33">
            <v>1035</v>
          </cell>
          <cell r="G33" t="str">
            <v>21069099</v>
          </cell>
          <cell r="H33" t="str">
            <v>FGB2C_120 GAIA BROWN KHOWA UNSWEETEND</v>
          </cell>
          <cell r="I33" t="str">
            <v>GAIA BROWN KHOWA UNSWEETEND</v>
          </cell>
          <cell r="L33">
            <v>395</v>
          </cell>
        </row>
        <row r="34">
          <cell r="F34">
            <v>1036</v>
          </cell>
          <cell r="G34" t="str">
            <v>21069099</v>
          </cell>
          <cell r="H34" t="str">
            <v>FGB2C_123 GAIA SHAHI RABDI BOX</v>
          </cell>
          <cell r="I34" t="str">
            <v>GAIA SHAHI RABDI BOX</v>
          </cell>
          <cell r="L34">
            <v>40</v>
          </cell>
        </row>
        <row r="35">
          <cell r="F35">
            <v>1037</v>
          </cell>
          <cell r="G35" t="str">
            <v>04059020</v>
          </cell>
          <cell r="H35" t="str">
            <v>FGB2C_63 GAIA COW GHEE CEKA PACK 1 LTR</v>
          </cell>
          <cell r="I35" t="str">
            <v>GAIA COW GHEE CEKA PACK 1 LTR</v>
          </cell>
          <cell r="L35">
            <v>649</v>
          </cell>
        </row>
        <row r="36">
          <cell r="F36">
            <v>1038</v>
          </cell>
          <cell r="G36" t="str">
            <v>04059020</v>
          </cell>
          <cell r="H36" t="str">
            <v>FGB2C_64 GAIA GHEE CEKA PACK 1 LTR</v>
          </cell>
          <cell r="I36" t="str">
            <v>GAIA GHEE CEKA PACK 1 LTR</v>
          </cell>
          <cell r="L36">
            <v>649</v>
          </cell>
        </row>
        <row r="37">
          <cell r="F37">
            <v>1039</v>
          </cell>
          <cell r="G37" t="str">
            <v>04059020</v>
          </cell>
          <cell r="H37" t="str">
            <v>CG-1 GAIA COW GHEE 200 ML JAR</v>
          </cell>
          <cell r="I37" t="str">
            <v>GAIA COW GHEE 200 ML JAR</v>
          </cell>
          <cell r="L37">
            <v>142</v>
          </cell>
        </row>
        <row r="38">
          <cell r="F38">
            <v>1040</v>
          </cell>
          <cell r="G38" t="str">
            <v>04059020</v>
          </cell>
          <cell r="H38" t="str">
            <v>FGB2C_19 GAIA COW GHEE JAR 500 ML</v>
          </cell>
          <cell r="I38" t="str">
            <v>GAIA COW GHEE JAR 500 ML</v>
          </cell>
          <cell r="L38">
            <v>337</v>
          </cell>
        </row>
        <row r="39">
          <cell r="F39">
            <v>1041</v>
          </cell>
          <cell r="G39" t="str">
            <v>04059020</v>
          </cell>
          <cell r="H39" t="str">
            <v>FGB2C_20 GAIA COW GHEE JAR 1 LTR</v>
          </cell>
          <cell r="I39" t="str">
            <v>GAIA COW GHEE JAR 1 LTR</v>
          </cell>
          <cell r="L39">
            <v>665</v>
          </cell>
        </row>
        <row r="40">
          <cell r="F40">
            <v>1042</v>
          </cell>
          <cell r="G40" t="str">
            <v>4011010</v>
          </cell>
          <cell r="H40" t="str">
            <v>FGB2C_94 GAIA MAXX UHT MILK 120 ML</v>
          </cell>
          <cell r="I40" t="str">
            <v>GAIA MAXX UHT MILK 120 ML</v>
          </cell>
          <cell r="L40">
            <v>10</v>
          </cell>
        </row>
        <row r="41">
          <cell r="F41">
            <v>1043</v>
          </cell>
          <cell r="G41" t="str">
            <v>4059090</v>
          </cell>
          <cell r="H41" t="str">
            <v>FGB2C_92 GAIA SHRIKHAND 80 G</v>
          </cell>
          <cell r="I41" t="str">
            <v>GAIA SHRIKHAND 80 G</v>
          </cell>
          <cell r="L41">
            <v>30</v>
          </cell>
        </row>
        <row r="42">
          <cell r="F42">
            <v>1044</v>
          </cell>
          <cell r="G42" t="str">
            <v>04039090</v>
          </cell>
          <cell r="H42" t="str">
            <v>FG_05 GAIA MISHTI DOI 80G</v>
          </cell>
          <cell r="I42" t="str">
            <v>GAIA MISHTI DOI 80G</v>
          </cell>
          <cell r="L42">
            <v>20</v>
          </cell>
        </row>
        <row r="43">
          <cell r="F43">
            <v>1045</v>
          </cell>
          <cell r="G43" t="str">
            <v>4011010</v>
          </cell>
          <cell r="H43" t="str">
            <v>FGB2C_97 GAIA MAXX UHT MILK 400 ML</v>
          </cell>
          <cell r="I43" t="str">
            <v>GAIA MAXX UHT MILK 400 ML</v>
          </cell>
          <cell r="L43">
            <v>30</v>
          </cell>
        </row>
        <row r="44">
          <cell r="F44">
            <v>1046</v>
          </cell>
          <cell r="G44" t="str">
            <v>04039010</v>
          </cell>
          <cell r="H44" t="str">
            <v>FGB2C_30 GAIA MASALA CHAAS 180 ML GLASS</v>
          </cell>
          <cell r="I44" t="str">
            <v>GAIA MASALA CHAAS 180 ML GLASS</v>
          </cell>
          <cell r="L44">
            <v>15</v>
          </cell>
        </row>
        <row r="45">
          <cell r="F45">
            <v>1047</v>
          </cell>
          <cell r="G45" t="str">
            <v>04039090</v>
          </cell>
          <cell r="H45" t="str">
            <v>FGB2C_08 GAIA DAHI BUCKET 5 KG</v>
          </cell>
          <cell r="I45" t="str">
            <v>GAIA DAHI BUCKET 5 KG</v>
          </cell>
          <cell r="L45">
            <v>400</v>
          </cell>
        </row>
        <row r="46">
          <cell r="F46">
            <v>1048</v>
          </cell>
          <cell r="G46" t="str">
            <v>21069099</v>
          </cell>
          <cell r="H46" t="str">
            <v>FGB2C_86 GAIA SHAHI RABDI TRAY</v>
          </cell>
          <cell r="I46" t="str">
            <v>GAIA SHAHI RABDI TRAY</v>
          </cell>
          <cell r="L46">
            <v>40</v>
          </cell>
        </row>
        <row r="47">
          <cell r="F47">
            <v>1049</v>
          </cell>
          <cell r="G47" t="str">
            <v>4021010</v>
          </cell>
          <cell r="H47" t="str">
            <v>FGB2C_126 GAIA KESAR PEDA 200 G</v>
          </cell>
          <cell r="I47" t="str">
            <v>GAIA KESAR PEDA 200 G</v>
          </cell>
          <cell r="J47" t="str">
            <v/>
          </cell>
          <cell r="L47">
            <v>120</v>
          </cell>
        </row>
        <row r="48">
          <cell r="F48">
            <v>1050</v>
          </cell>
          <cell r="G48" t="str">
            <v>4011010</v>
          </cell>
          <cell r="H48" t="str">
            <v>FGB2C_127 Gaia Premium Milk UHT Tetra Pack 1 Ltr</v>
          </cell>
          <cell r="I48" t="str">
            <v>GAIA PREMIUM MILK UHT TETRA PACK 1 LTR</v>
          </cell>
          <cell r="L48">
            <v>76</v>
          </cell>
        </row>
        <row r="49">
          <cell r="F49">
            <v>1051</v>
          </cell>
          <cell r="G49" t="str">
            <v>4011010</v>
          </cell>
          <cell r="H49" t="str">
            <v>FGB2C_128 Gaia Lite Milk UHT Tetra Pack 1Ltr</v>
          </cell>
          <cell r="I49" t="str">
            <v>GAIA LITE MILK UHT TETRA PACK 1 LTR</v>
          </cell>
          <cell r="L49">
            <v>71</v>
          </cell>
        </row>
        <row r="50">
          <cell r="F50">
            <v>1053</v>
          </cell>
          <cell r="G50" t="str">
            <v>04059020</v>
          </cell>
          <cell r="H50" t="str">
            <v>Gaia Premium Desi Ghee Ceka Pack 900ml</v>
          </cell>
          <cell r="I50" t="str">
            <v>GAIA PREMIUM DESI GHEE CEKA PACK 900ML</v>
          </cell>
          <cell r="L50">
            <v>599</v>
          </cell>
        </row>
        <row r="51">
          <cell r="F51">
            <v>1054</v>
          </cell>
          <cell r="G51" t="str">
            <v>04059020</v>
          </cell>
          <cell r="H51" t="str">
            <v>Gaia Pure Cow Ghee Ceka Pack 900ml</v>
          </cell>
          <cell r="I51" t="str">
            <v>GAIA PURE COW GHEE CEKA PACK 900ML</v>
          </cell>
          <cell r="L51">
            <v>599</v>
          </cell>
        </row>
        <row r="52">
          <cell r="F52">
            <v>1056</v>
          </cell>
          <cell r="G52" t="str">
            <v>04039090</v>
          </cell>
          <cell r="H52" t="str">
            <v>FGB2C_13 GAIA KADHI DAHI BUCKET 5 KG</v>
          </cell>
          <cell r="I52" t="str">
            <v>GAIA KADHI DAHI BUCKET 5 KG</v>
          </cell>
          <cell r="L52">
            <v>345</v>
          </cell>
        </row>
        <row r="53">
          <cell r="F53">
            <v>1057</v>
          </cell>
          <cell r="G53" t="str">
            <v>4011010</v>
          </cell>
          <cell r="H53" t="str">
            <v>FGB2C_129 Gaia Gold Milk UHT Tetra Pack 1Ltr</v>
          </cell>
          <cell r="I53" t="str">
            <v>GAIA GOLD MILK UHT TETRA PACK 1 LTR</v>
          </cell>
          <cell r="L53">
            <v>81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s" id="{A5DEF891-4ADD-4049-AFD2-E98B1B121917}" userId="mis@vamaadairy.com" providerId="PeoplePicker"/>
  <person displayName="Mis" id="{CADEE01B-1617-4EDE-90A7-700AC970EEC1}" userId="S::mis@vamaadairy.com::6f058064-b280-4297-bd14-821c29ac67c6" providerId="AD"/>
  <person displayName="Mohit Dhariwal" id="{99577CD9-CCA0-419F-9FC3-80A6A684A644}" userId="S::mohit@vamaadairy.com::b69ab010-7413-4462-9902-55ef09aef7d8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4" dT="2025-09-16T10:20:33.86" personId="{99577CD9-CCA0-419F-9FC3-80A6A684A644}" id="{EEA06CCF-2FD8-4C39-8750-781ED137B24A}">
    <text xml:space="preserve">@mis we can maintain the history of changes in the comments also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9-17T18:20:41.75" personId="{99577CD9-CCA0-419F-9FC3-80A6A684A644}" id="{72A66ECE-2E68-4232-AAED-922501F1E3A2}">
    <text xml:space="preserve">@Mis add Gaia's rates also here </text>
    <mentions>
      <mention mentionpersonId="{A5DEF891-4ADD-4049-AFD2-E98B1B121917}" mentionId="{30897045-6CE1-4A1D-8BD4-AA5D7DAD3315}" startIndex="0" length="4"/>
    </mentions>
  </threadedComment>
  <threadedComment ref="A1" dT="2025-09-18T05:38:11.17" personId="{CADEE01B-1617-4EDE-90A7-700AC970EEC1}" id="{7EE1B15B-864F-445C-851B-AB01057D7CE4}" parentId="{72A66ECE-2E68-4232-AAED-922501F1E3A2}">
    <text>ok sir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3"/>
  <sheetViews>
    <sheetView workbookViewId="0">
      <pane xSplit="2" ySplit="2" topLeftCell="AA24" activePane="bottomRight" state="frozen"/>
      <selection pane="topRight" activeCell="C1" sqref="C1"/>
      <selection pane="bottomLeft" activeCell="A3" sqref="A3"/>
      <selection pane="bottomRight" activeCell="A27" sqref="A27"/>
    </sheetView>
  </sheetViews>
  <sheetFormatPr defaultRowHeight="15" x14ac:dyDescent="0.25"/>
  <cols>
    <col min="1" max="1" width="5.85546875" bestFit="1" customWidth="1"/>
    <col min="2" max="2" width="30.42578125" customWidth="1"/>
    <col min="3" max="3" width="4.42578125" bestFit="1" customWidth="1"/>
    <col min="4" max="4" width="7.5703125" customWidth="1"/>
    <col min="5" max="6" width="7.5703125" hidden="1" customWidth="1"/>
    <col min="7" max="7" width="29.42578125" hidden="1" customWidth="1"/>
    <col min="8" max="9" width="7.5703125" hidden="1" customWidth="1"/>
    <col min="10" max="10" width="11.5703125" hidden="1" customWidth="1"/>
    <col min="11" max="11" width="10.7109375" hidden="1" customWidth="1"/>
    <col min="12" max="12" width="9" hidden="1" customWidth="1"/>
    <col min="13" max="13" width="7" customWidth="1"/>
    <col min="14" max="14" width="9" customWidth="1"/>
    <col min="15" max="15" width="8.42578125" customWidth="1"/>
    <col min="16" max="16" width="9.7109375" customWidth="1"/>
    <col min="17" max="17" width="8.7109375" bestFit="1" customWidth="1"/>
    <col min="18" max="18" width="8.7109375" customWidth="1"/>
    <col min="19" max="19" width="7.5703125" bestFit="1" customWidth="1"/>
    <col min="20" max="20" width="19.5703125" bestFit="1" customWidth="1"/>
    <col min="21" max="21" width="9.85546875" customWidth="1"/>
    <col min="22" max="22" width="7.5703125" bestFit="1" customWidth="1"/>
    <col min="23" max="23" width="8" customWidth="1"/>
    <col min="24" max="25" width="7.5703125" bestFit="1" customWidth="1"/>
    <col min="26" max="26" width="12" customWidth="1"/>
    <col min="27" max="27" width="9.7109375" bestFit="1" customWidth="1"/>
  </cols>
  <sheetData>
    <row r="1" spans="1:27" x14ac:dyDescent="0.25">
      <c r="A1" s="139" t="s">
        <v>0</v>
      </c>
      <c r="B1" s="139"/>
      <c r="C1" s="139"/>
      <c r="D1" s="139" t="s">
        <v>1</v>
      </c>
      <c r="E1" s="139"/>
      <c r="F1" s="139"/>
      <c r="G1" s="139"/>
      <c r="H1" s="139"/>
      <c r="I1" s="139"/>
      <c r="J1" s="139" t="s">
        <v>2</v>
      </c>
      <c r="K1" s="139"/>
      <c r="L1" s="139"/>
      <c r="M1" s="139"/>
      <c r="N1" s="139"/>
      <c r="O1" s="139"/>
      <c r="P1" s="139"/>
      <c r="Q1" s="140" t="s">
        <v>3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27" ht="30" x14ac:dyDescent="0.25">
      <c r="A2" s="1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3" t="s">
        <v>10</v>
      </c>
      <c r="H2" s="3" t="s">
        <v>11</v>
      </c>
      <c r="I2" s="3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3" t="s">
        <v>7</v>
      </c>
      <c r="R2" s="23" t="s">
        <v>8</v>
      </c>
      <c r="S2" s="23" t="s">
        <v>9</v>
      </c>
      <c r="T2" s="24" t="s">
        <v>10</v>
      </c>
      <c r="U2" s="24" t="s">
        <v>11</v>
      </c>
      <c r="V2" s="24" t="s">
        <v>12</v>
      </c>
      <c r="W2" s="23" t="s">
        <v>13</v>
      </c>
      <c r="X2" s="23" t="s">
        <v>15</v>
      </c>
      <c r="Y2" s="23" t="s">
        <v>17</v>
      </c>
      <c r="Z2" s="25" t="s">
        <v>20</v>
      </c>
      <c r="AA2" s="23" t="s">
        <v>19</v>
      </c>
    </row>
    <row r="3" spans="1:27" ht="18" customHeight="1" x14ac:dyDescent="0.25">
      <c r="A3" s="4">
        <v>1</v>
      </c>
      <c r="B3" s="5" t="s">
        <v>21</v>
      </c>
      <c r="C3" s="4">
        <v>24</v>
      </c>
      <c r="D3" s="6">
        <v>28</v>
      </c>
      <c r="E3" s="6">
        <v>26.45</v>
      </c>
      <c r="F3" s="6">
        <v>25.83</v>
      </c>
      <c r="G3" s="7" t="s">
        <v>22</v>
      </c>
      <c r="H3" s="6">
        <v>24.783333333333331</v>
      </c>
      <c r="I3" s="6">
        <v>24.16333333333333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/>
      <c r="P3" s="1" t="s">
        <v>23</v>
      </c>
      <c r="Q3" s="15">
        <v>28</v>
      </c>
      <c r="R3" s="15">
        <v>25.190476190476193</v>
      </c>
      <c r="S3" s="15">
        <v>24.6</v>
      </c>
      <c r="T3" s="4" t="s">
        <v>24</v>
      </c>
      <c r="U3" s="15">
        <v>25.190476190476193</v>
      </c>
      <c r="V3" s="15">
        <v>24.6</v>
      </c>
      <c r="W3" s="15" t="s">
        <v>23</v>
      </c>
      <c r="X3" s="15" t="s">
        <v>23</v>
      </c>
      <c r="Y3" s="15" t="s">
        <v>23</v>
      </c>
      <c r="Z3" s="15" t="s">
        <v>23</v>
      </c>
      <c r="AA3" s="15" t="s">
        <v>23</v>
      </c>
    </row>
    <row r="4" spans="1:27" ht="18" customHeight="1" x14ac:dyDescent="0.25">
      <c r="A4" s="4">
        <f>A3+1</f>
        <v>2</v>
      </c>
      <c r="B4" s="5" t="s">
        <v>25</v>
      </c>
      <c r="C4" s="4">
        <v>24</v>
      </c>
      <c r="D4" s="6">
        <v>28</v>
      </c>
      <c r="E4" s="6">
        <v>26.45</v>
      </c>
      <c r="F4" s="6">
        <v>25.83</v>
      </c>
      <c r="G4" s="7" t="s">
        <v>26</v>
      </c>
      <c r="H4" s="6">
        <v>25.391999999999999</v>
      </c>
      <c r="I4" s="6">
        <v>24.796799999999998</v>
      </c>
      <c r="J4" s="8" t="s">
        <v>27</v>
      </c>
      <c r="K4" s="9" t="s">
        <v>27</v>
      </c>
      <c r="L4" s="6">
        <v>25.83</v>
      </c>
      <c r="M4" s="10">
        <f>(D4-L4)/D4</f>
        <v>7.7500000000000055E-2</v>
      </c>
      <c r="N4" s="11">
        <v>26.168224299065418</v>
      </c>
      <c r="O4" s="10">
        <v>7.0000000000000007E-2</v>
      </c>
      <c r="P4" s="1" t="s">
        <v>23</v>
      </c>
      <c r="Q4" s="15">
        <v>28</v>
      </c>
      <c r="R4" s="15">
        <v>26.45</v>
      </c>
      <c r="S4" s="15">
        <v>25.83</v>
      </c>
      <c r="T4" s="4" t="s">
        <v>24</v>
      </c>
      <c r="U4" s="15">
        <v>26.45</v>
      </c>
      <c r="V4" s="15">
        <v>25.83</v>
      </c>
      <c r="W4" s="15">
        <f>S4</f>
        <v>25.83</v>
      </c>
      <c r="X4" s="15">
        <f>S4</f>
        <v>25.83</v>
      </c>
      <c r="Y4" s="26">
        <v>26.17</v>
      </c>
      <c r="Z4" s="15">
        <v>25.83</v>
      </c>
      <c r="AA4" s="15" t="s">
        <v>23</v>
      </c>
    </row>
    <row r="5" spans="1:27" ht="18" customHeight="1" x14ac:dyDescent="0.25">
      <c r="A5" s="4">
        <f t="shared" ref="A5:A43" si="0">A4+1</f>
        <v>3</v>
      </c>
      <c r="B5" s="5" t="s">
        <v>28</v>
      </c>
      <c r="C5" s="4">
        <v>24</v>
      </c>
      <c r="D5" s="6">
        <v>29</v>
      </c>
      <c r="E5" s="6">
        <v>27.4</v>
      </c>
      <c r="F5" s="6">
        <v>26.75</v>
      </c>
      <c r="G5" s="7" t="s">
        <v>26</v>
      </c>
      <c r="H5" s="6">
        <v>26.303999999999995</v>
      </c>
      <c r="I5" s="6">
        <v>25.68</v>
      </c>
      <c r="J5" s="11">
        <v>26.75</v>
      </c>
      <c r="K5" s="9" t="s">
        <v>27</v>
      </c>
      <c r="L5" s="6">
        <v>26.75</v>
      </c>
      <c r="M5" s="10">
        <f t="shared" ref="M5:M29" si="1">(D5-L5)/D5</f>
        <v>7.7586206896551727E-2</v>
      </c>
      <c r="N5" s="11">
        <v>27.102803738317757</v>
      </c>
      <c r="O5" s="10">
        <v>7.0000000000000007E-2</v>
      </c>
      <c r="P5" s="1" t="s">
        <v>23</v>
      </c>
      <c r="Q5" s="15">
        <v>29</v>
      </c>
      <c r="R5" s="15">
        <v>27.4</v>
      </c>
      <c r="S5" s="15">
        <v>26.75</v>
      </c>
      <c r="T5" s="4" t="s">
        <v>26</v>
      </c>
      <c r="U5" s="15">
        <v>26.303999999999995</v>
      </c>
      <c r="V5" s="15">
        <v>25.68</v>
      </c>
      <c r="W5" s="15">
        <f>S5</f>
        <v>26.75</v>
      </c>
      <c r="X5" s="15">
        <f t="shared" ref="X5:X29" si="2">S5</f>
        <v>26.75</v>
      </c>
      <c r="Y5" s="15">
        <v>27.1</v>
      </c>
      <c r="Z5" s="15" t="s">
        <v>23</v>
      </c>
      <c r="AA5" s="15" t="s">
        <v>23</v>
      </c>
    </row>
    <row r="6" spans="1:27" ht="18" customHeight="1" x14ac:dyDescent="0.25">
      <c r="A6" s="4">
        <f t="shared" si="0"/>
        <v>4</v>
      </c>
      <c r="B6" s="5" t="s">
        <v>29</v>
      </c>
      <c r="C6" s="4">
        <v>12</v>
      </c>
      <c r="D6" s="6">
        <v>25</v>
      </c>
      <c r="E6" s="6">
        <v>22.5</v>
      </c>
      <c r="F6" s="6">
        <v>21.5</v>
      </c>
      <c r="G6" s="7" t="s">
        <v>30</v>
      </c>
      <c r="H6" s="6">
        <v>20.625</v>
      </c>
      <c r="I6" s="6">
        <v>19.708333333333332</v>
      </c>
      <c r="J6" s="11">
        <v>21.25</v>
      </c>
      <c r="K6" s="9">
        <v>0.15</v>
      </c>
      <c r="L6" s="6">
        <v>21.5</v>
      </c>
      <c r="M6" s="10">
        <f t="shared" si="1"/>
        <v>0.14000000000000001</v>
      </c>
      <c r="N6" s="11">
        <v>21.75</v>
      </c>
      <c r="O6" s="10">
        <v>0.13</v>
      </c>
      <c r="P6" s="1" t="s">
        <v>23</v>
      </c>
      <c r="Q6" s="15">
        <v>25</v>
      </c>
      <c r="R6" s="15">
        <v>21.924418604651162</v>
      </c>
      <c r="S6" s="15">
        <v>20.95</v>
      </c>
      <c r="T6" s="4" t="s">
        <v>23</v>
      </c>
      <c r="U6" s="15">
        <v>21.924418604651162</v>
      </c>
      <c r="V6" s="15">
        <v>20.95</v>
      </c>
      <c r="W6" s="15">
        <f>Q6-(Q6*K6)</f>
        <v>21.25</v>
      </c>
      <c r="X6" s="15">
        <f t="shared" si="2"/>
        <v>20.95</v>
      </c>
      <c r="Y6" s="26">
        <f>Q6-(Q6*O6)</f>
        <v>21.75</v>
      </c>
      <c r="Z6" s="15">
        <v>21.05</v>
      </c>
      <c r="AA6" s="15" t="s">
        <v>23</v>
      </c>
    </row>
    <row r="7" spans="1:27" ht="18" customHeight="1" x14ac:dyDescent="0.25">
      <c r="A7" s="4">
        <f t="shared" si="0"/>
        <v>5</v>
      </c>
      <c r="B7" s="5" t="s">
        <v>31</v>
      </c>
      <c r="C7" s="4">
        <v>60</v>
      </c>
      <c r="D7" s="6">
        <v>18</v>
      </c>
      <c r="E7" s="6">
        <v>16.25</v>
      </c>
      <c r="F7" s="6">
        <v>15.5</v>
      </c>
      <c r="G7" s="7" t="s">
        <v>32</v>
      </c>
      <c r="H7" s="6">
        <v>13.541666666666666</v>
      </c>
      <c r="I7" s="6">
        <v>12.916666666666666</v>
      </c>
      <c r="J7" s="11">
        <v>15.66</v>
      </c>
      <c r="K7" s="9">
        <v>0.13</v>
      </c>
      <c r="L7" s="6">
        <v>15.5</v>
      </c>
      <c r="M7" s="10">
        <f t="shared" si="1"/>
        <v>0.1388888888888889</v>
      </c>
      <c r="N7" s="12" t="s">
        <v>23</v>
      </c>
      <c r="O7" s="10">
        <v>0.13</v>
      </c>
      <c r="P7" s="1" t="s">
        <v>23</v>
      </c>
      <c r="Q7" s="15">
        <v>18</v>
      </c>
      <c r="R7" s="15">
        <v>14.625</v>
      </c>
      <c r="S7" s="15">
        <v>13.95</v>
      </c>
      <c r="T7" s="4" t="s">
        <v>23</v>
      </c>
      <c r="U7" s="15">
        <v>14.625</v>
      </c>
      <c r="V7" s="15">
        <v>13.95</v>
      </c>
      <c r="W7" s="15">
        <f>Q7-(Q7*K7)</f>
        <v>15.66</v>
      </c>
      <c r="X7" s="15">
        <f t="shared" si="2"/>
        <v>13.95</v>
      </c>
      <c r="Y7" s="21" t="s">
        <v>23</v>
      </c>
      <c r="Z7" s="15">
        <v>15.72</v>
      </c>
      <c r="AA7" s="15" t="s">
        <v>23</v>
      </c>
    </row>
    <row r="8" spans="1:27" ht="18" customHeight="1" x14ac:dyDescent="0.25">
      <c r="A8" s="4">
        <f t="shared" si="0"/>
        <v>6</v>
      </c>
      <c r="B8" s="5" t="s">
        <v>33</v>
      </c>
      <c r="C8" s="4">
        <v>30</v>
      </c>
      <c r="D8" s="6">
        <v>35</v>
      </c>
      <c r="E8" s="6">
        <v>31.25</v>
      </c>
      <c r="F8" s="6">
        <v>30</v>
      </c>
      <c r="G8" s="7" t="s">
        <v>34</v>
      </c>
      <c r="H8" s="6">
        <v>26.041666666666668</v>
      </c>
      <c r="I8" s="6">
        <v>25</v>
      </c>
      <c r="J8" s="11">
        <v>30.45</v>
      </c>
      <c r="K8" s="9">
        <v>0.13</v>
      </c>
      <c r="L8" s="6">
        <v>30</v>
      </c>
      <c r="M8" s="10">
        <f t="shared" si="1"/>
        <v>0.14285714285714285</v>
      </c>
      <c r="N8" s="11">
        <v>30.8</v>
      </c>
      <c r="O8" s="10">
        <v>0.12</v>
      </c>
      <c r="P8" s="1" t="s">
        <v>23</v>
      </c>
      <c r="Q8" s="15">
        <v>35</v>
      </c>
      <c r="R8" s="15">
        <v>28.072916666666664</v>
      </c>
      <c r="S8" s="15">
        <v>26.95</v>
      </c>
      <c r="T8" s="4" t="s">
        <v>23</v>
      </c>
      <c r="U8" s="15">
        <v>28.072916666666664</v>
      </c>
      <c r="V8" s="15">
        <v>26.95</v>
      </c>
      <c r="W8" s="15">
        <f>Q8-(Q8*K8)</f>
        <v>30.45</v>
      </c>
      <c r="X8" s="15">
        <f t="shared" si="2"/>
        <v>26.95</v>
      </c>
      <c r="Y8" s="26">
        <f>Q8-(Q8*O8)</f>
        <v>30.8</v>
      </c>
      <c r="Z8" s="15">
        <v>28.48</v>
      </c>
      <c r="AA8" s="15" t="s">
        <v>23</v>
      </c>
    </row>
    <row r="9" spans="1:27" ht="18" customHeight="1" x14ac:dyDescent="0.25">
      <c r="A9" s="4">
        <f t="shared" si="0"/>
        <v>7</v>
      </c>
      <c r="B9" s="5" t="s">
        <v>35</v>
      </c>
      <c r="C9" s="4">
        <v>12</v>
      </c>
      <c r="D9" s="6">
        <v>75</v>
      </c>
      <c r="E9" s="6">
        <v>67.5</v>
      </c>
      <c r="F9" s="6">
        <v>65.5</v>
      </c>
      <c r="G9" s="7" t="s">
        <v>26</v>
      </c>
      <c r="H9" s="6">
        <v>61.875</v>
      </c>
      <c r="I9" s="6">
        <v>60.041666666666664</v>
      </c>
      <c r="J9" s="11">
        <v>65.25</v>
      </c>
      <c r="K9" s="9">
        <v>0.13</v>
      </c>
      <c r="L9" s="6">
        <v>65.5</v>
      </c>
      <c r="M9" s="10">
        <f t="shared" si="1"/>
        <v>0.12666666666666668</v>
      </c>
      <c r="N9" s="11">
        <v>66</v>
      </c>
      <c r="O9" s="10">
        <v>0.12</v>
      </c>
      <c r="P9" s="1" t="s">
        <v>23</v>
      </c>
      <c r="Q9" s="15">
        <v>75</v>
      </c>
      <c r="R9" s="15">
        <v>66.93320610687023</v>
      </c>
      <c r="S9" s="15">
        <v>64.95</v>
      </c>
      <c r="T9" s="4" t="s">
        <v>23</v>
      </c>
      <c r="U9" s="15">
        <v>66.93320610687023</v>
      </c>
      <c r="V9" s="15">
        <v>64.95</v>
      </c>
      <c r="W9" s="15">
        <f>Q9-(Q9*K9)</f>
        <v>65.25</v>
      </c>
      <c r="X9" s="15">
        <f t="shared" si="2"/>
        <v>64.95</v>
      </c>
      <c r="Y9" s="26">
        <f>Q9-(Q9*O9)</f>
        <v>66</v>
      </c>
      <c r="Z9" s="15">
        <v>65.25</v>
      </c>
      <c r="AA9" s="15" t="s">
        <v>23</v>
      </c>
    </row>
    <row r="10" spans="1:27" ht="18" customHeight="1" x14ac:dyDescent="0.25">
      <c r="A10" s="4">
        <f t="shared" si="0"/>
        <v>8</v>
      </c>
      <c r="B10" s="5" t="s">
        <v>36</v>
      </c>
      <c r="C10" s="4">
        <v>2</v>
      </c>
      <c r="D10" s="6">
        <v>360</v>
      </c>
      <c r="E10" s="6">
        <v>330</v>
      </c>
      <c r="F10" s="6">
        <v>315</v>
      </c>
      <c r="G10" s="7"/>
      <c r="H10" s="6">
        <v>330</v>
      </c>
      <c r="I10" s="6">
        <v>315</v>
      </c>
      <c r="J10" s="11">
        <v>314.68531468531467</v>
      </c>
      <c r="K10" s="9" t="s">
        <v>27</v>
      </c>
      <c r="L10" s="6">
        <v>315</v>
      </c>
      <c r="M10" s="10">
        <f t="shared" si="1"/>
        <v>0.125</v>
      </c>
      <c r="N10" s="12" t="s">
        <v>23</v>
      </c>
      <c r="O10" s="10" t="s">
        <v>23</v>
      </c>
      <c r="P10" s="1" t="s">
        <v>23</v>
      </c>
      <c r="Q10" s="15">
        <v>360</v>
      </c>
      <c r="R10" s="15">
        <v>330</v>
      </c>
      <c r="S10" s="15">
        <v>315</v>
      </c>
      <c r="T10" s="4" t="s">
        <v>37</v>
      </c>
      <c r="U10" s="15">
        <v>315</v>
      </c>
      <c r="V10" s="15">
        <v>300</v>
      </c>
      <c r="W10" s="15">
        <f>S10</f>
        <v>315</v>
      </c>
      <c r="X10" s="15">
        <f t="shared" si="2"/>
        <v>315</v>
      </c>
      <c r="Y10" s="21" t="s">
        <v>23</v>
      </c>
      <c r="Z10" s="15">
        <v>320.92</v>
      </c>
      <c r="AA10" s="15" t="s">
        <v>23</v>
      </c>
    </row>
    <row r="11" spans="1:27" ht="18" customHeight="1" x14ac:dyDescent="0.25">
      <c r="A11" s="4">
        <f t="shared" si="0"/>
        <v>9</v>
      </c>
      <c r="B11" s="5" t="s">
        <v>38</v>
      </c>
      <c r="C11" s="4">
        <v>1</v>
      </c>
      <c r="D11" s="6">
        <v>400</v>
      </c>
      <c r="E11" s="6">
        <v>360</v>
      </c>
      <c r="F11" s="6">
        <v>345</v>
      </c>
      <c r="G11" s="7" t="s">
        <v>39</v>
      </c>
      <c r="H11" s="6">
        <v>360</v>
      </c>
      <c r="I11" s="6">
        <v>320</v>
      </c>
      <c r="J11" s="8" t="s">
        <v>27</v>
      </c>
      <c r="K11" s="9" t="s">
        <v>23</v>
      </c>
      <c r="L11" s="6">
        <v>345</v>
      </c>
      <c r="M11" s="10">
        <f t="shared" si="1"/>
        <v>0.13750000000000001</v>
      </c>
      <c r="N11" s="12" t="s">
        <v>23</v>
      </c>
      <c r="O11" s="10" t="s">
        <v>23</v>
      </c>
      <c r="P11" s="1" t="s">
        <v>23</v>
      </c>
      <c r="Q11" s="15">
        <v>400</v>
      </c>
      <c r="R11" s="15">
        <v>360</v>
      </c>
      <c r="S11" s="15">
        <v>345</v>
      </c>
      <c r="T11" s="4" t="s">
        <v>40</v>
      </c>
      <c r="U11" s="15">
        <v>345</v>
      </c>
      <c r="V11" s="15">
        <v>330</v>
      </c>
      <c r="W11" s="15" t="s">
        <v>23</v>
      </c>
      <c r="X11" s="15">
        <f t="shared" si="2"/>
        <v>345</v>
      </c>
      <c r="Y11" s="21" t="s">
        <v>23</v>
      </c>
      <c r="Z11" s="15">
        <v>345</v>
      </c>
      <c r="AA11" s="15" t="s">
        <v>23</v>
      </c>
    </row>
    <row r="12" spans="1:27" ht="18" customHeight="1" x14ac:dyDescent="0.25">
      <c r="A12" s="4">
        <f t="shared" si="0"/>
        <v>10</v>
      </c>
      <c r="B12" s="5" t="s">
        <v>41</v>
      </c>
      <c r="C12" s="4">
        <v>1</v>
      </c>
      <c r="D12" s="6">
        <v>1145</v>
      </c>
      <c r="E12" s="6">
        <v>1040</v>
      </c>
      <c r="F12" s="6">
        <v>1000</v>
      </c>
      <c r="G12" s="7"/>
      <c r="H12" s="6">
        <v>1040</v>
      </c>
      <c r="I12" s="6">
        <v>1000</v>
      </c>
      <c r="J12" s="8" t="s">
        <v>27</v>
      </c>
      <c r="K12" s="9" t="s">
        <v>23</v>
      </c>
      <c r="L12" s="6">
        <v>1000</v>
      </c>
      <c r="M12" s="10">
        <f t="shared" si="1"/>
        <v>0.12663755458515283</v>
      </c>
      <c r="N12" s="12" t="s">
        <v>23</v>
      </c>
      <c r="O12" s="10" t="s">
        <v>23</v>
      </c>
      <c r="P12" s="1" t="s">
        <v>23</v>
      </c>
      <c r="Q12" s="15">
        <v>1145</v>
      </c>
      <c r="R12" s="15">
        <v>1040</v>
      </c>
      <c r="S12" s="15">
        <v>1000</v>
      </c>
      <c r="T12" s="4" t="s">
        <v>23</v>
      </c>
      <c r="U12" s="15">
        <v>1040</v>
      </c>
      <c r="V12" s="15">
        <v>1000</v>
      </c>
      <c r="W12" s="15" t="s">
        <v>23</v>
      </c>
      <c r="X12" s="15">
        <f t="shared" si="2"/>
        <v>1000</v>
      </c>
      <c r="Y12" s="21" t="s">
        <v>23</v>
      </c>
      <c r="Z12" s="15">
        <v>1160</v>
      </c>
      <c r="AA12" s="15" t="s">
        <v>23</v>
      </c>
    </row>
    <row r="13" spans="1:27" ht="18" customHeight="1" x14ac:dyDescent="0.25">
      <c r="A13" s="4">
        <f t="shared" si="0"/>
        <v>11</v>
      </c>
      <c r="B13" s="5" t="s">
        <v>42</v>
      </c>
      <c r="C13" s="4">
        <v>60</v>
      </c>
      <c r="D13" s="6">
        <v>15</v>
      </c>
      <c r="E13" s="6">
        <v>13.5</v>
      </c>
      <c r="F13" s="6">
        <v>12.9</v>
      </c>
      <c r="G13" s="7"/>
      <c r="H13" s="6">
        <v>13.5</v>
      </c>
      <c r="I13" s="6">
        <v>12.9</v>
      </c>
      <c r="J13" s="11">
        <v>12.75</v>
      </c>
      <c r="K13" s="9">
        <v>0.15</v>
      </c>
      <c r="L13" s="6">
        <v>12.9</v>
      </c>
      <c r="M13" s="10">
        <f t="shared" si="1"/>
        <v>0.13999999999999999</v>
      </c>
      <c r="N13" s="11">
        <v>13.2</v>
      </c>
      <c r="O13" s="10">
        <v>0.12</v>
      </c>
      <c r="P13" s="1" t="s">
        <v>23</v>
      </c>
      <c r="Q13" s="15">
        <v>15</v>
      </c>
      <c r="R13" s="15">
        <v>12.505813953488371</v>
      </c>
      <c r="S13" s="15">
        <v>11.95</v>
      </c>
      <c r="T13" s="4" t="s">
        <v>23</v>
      </c>
      <c r="U13" s="15">
        <v>12.505813953488371</v>
      </c>
      <c r="V13" s="15">
        <v>11.95</v>
      </c>
      <c r="W13" s="15">
        <f>Q13-(Q13*K13)</f>
        <v>12.75</v>
      </c>
      <c r="X13" s="15">
        <f t="shared" si="2"/>
        <v>11.95</v>
      </c>
      <c r="Y13" s="26">
        <f>Q13-(Q13*O13)</f>
        <v>13.2</v>
      </c>
      <c r="Z13" s="15">
        <v>12.31</v>
      </c>
      <c r="AA13" s="15" t="s">
        <v>23</v>
      </c>
    </row>
    <row r="14" spans="1:27" ht="18" customHeight="1" x14ac:dyDescent="0.25">
      <c r="A14" s="4">
        <f t="shared" si="0"/>
        <v>12</v>
      </c>
      <c r="B14" s="5" t="s">
        <v>43</v>
      </c>
      <c r="C14" s="4">
        <v>12</v>
      </c>
      <c r="D14" s="6">
        <v>65</v>
      </c>
      <c r="E14" s="6">
        <v>58</v>
      </c>
      <c r="F14" s="6">
        <v>52</v>
      </c>
      <c r="G14" s="7"/>
      <c r="H14" s="6">
        <v>58</v>
      </c>
      <c r="I14" s="6">
        <v>52</v>
      </c>
      <c r="J14" s="11">
        <v>55.25</v>
      </c>
      <c r="K14" s="9">
        <v>0.15</v>
      </c>
      <c r="L14" s="6">
        <v>52</v>
      </c>
      <c r="M14" s="10">
        <f t="shared" si="1"/>
        <v>0.2</v>
      </c>
      <c r="N14" s="11">
        <v>57.2</v>
      </c>
      <c r="O14" s="10">
        <v>0.12</v>
      </c>
      <c r="P14" s="1" t="s">
        <v>23</v>
      </c>
      <c r="Q14" s="18">
        <v>60</v>
      </c>
      <c r="R14" s="15">
        <v>56.828846153846158</v>
      </c>
      <c r="S14" s="15">
        <v>50.95</v>
      </c>
      <c r="T14" s="4" t="s">
        <v>23</v>
      </c>
      <c r="U14" s="15">
        <v>56.828846153846158</v>
      </c>
      <c r="V14" s="18">
        <v>50.95</v>
      </c>
      <c r="W14" s="18">
        <f>Q14-(Q14*K14)</f>
        <v>51</v>
      </c>
      <c r="X14" s="18">
        <f t="shared" si="2"/>
        <v>50.95</v>
      </c>
      <c r="Y14" s="26">
        <f>Q14-(Q14*O14)</f>
        <v>52.8</v>
      </c>
      <c r="Z14" s="15">
        <v>51.5</v>
      </c>
      <c r="AA14" s="15" t="s">
        <v>23</v>
      </c>
    </row>
    <row r="15" spans="1:27" ht="18" customHeight="1" x14ac:dyDescent="0.25">
      <c r="A15" s="4">
        <f t="shared" si="0"/>
        <v>13</v>
      </c>
      <c r="B15" s="5" t="s">
        <v>44</v>
      </c>
      <c r="C15" s="4">
        <v>2</v>
      </c>
      <c r="D15" s="6">
        <v>305</v>
      </c>
      <c r="E15" s="6">
        <v>285</v>
      </c>
      <c r="F15" s="6">
        <v>275</v>
      </c>
      <c r="G15" s="7" t="s">
        <v>45</v>
      </c>
      <c r="H15" s="6">
        <v>260</v>
      </c>
      <c r="I15" s="6">
        <v>250</v>
      </c>
      <c r="J15" s="11">
        <v>266.60839160839157</v>
      </c>
      <c r="K15" s="9" t="s">
        <v>27</v>
      </c>
      <c r="L15" s="6">
        <v>275</v>
      </c>
      <c r="M15" s="10">
        <f t="shared" si="1"/>
        <v>9.8360655737704916E-2</v>
      </c>
      <c r="N15" s="12" t="s">
        <v>23</v>
      </c>
      <c r="O15" s="10" t="s">
        <v>23</v>
      </c>
      <c r="P15" s="1" t="s">
        <v>23</v>
      </c>
      <c r="Q15" s="15">
        <v>305</v>
      </c>
      <c r="R15" s="15">
        <v>244.58181818181819</v>
      </c>
      <c r="S15" s="15">
        <v>236</v>
      </c>
      <c r="T15" s="4" t="s">
        <v>23</v>
      </c>
      <c r="U15" s="15">
        <v>244.58181818181819</v>
      </c>
      <c r="V15" s="15">
        <v>236</v>
      </c>
      <c r="W15" s="15">
        <f>S15</f>
        <v>236</v>
      </c>
      <c r="X15" s="15">
        <f t="shared" si="2"/>
        <v>236</v>
      </c>
      <c r="Y15" s="21" t="s">
        <v>23</v>
      </c>
      <c r="Z15" s="15">
        <v>277</v>
      </c>
      <c r="AA15" s="15" t="s">
        <v>23</v>
      </c>
    </row>
    <row r="16" spans="1:27" ht="18" customHeight="1" x14ac:dyDescent="0.25">
      <c r="A16" s="4">
        <f t="shared" si="0"/>
        <v>14</v>
      </c>
      <c r="B16" s="5" t="s">
        <v>46</v>
      </c>
      <c r="C16" s="4">
        <v>1</v>
      </c>
      <c r="D16" s="6">
        <v>985</v>
      </c>
      <c r="E16" s="6">
        <v>895</v>
      </c>
      <c r="F16" s="6">
        <v>860</v>
      </c>
      <c r="G16" s="7"/>
      <c r="H16" s="6">
        <v>895</v>
      </c>
      <c r="I16" s="6">
        <v>860</v>
      </c>
      <c r="J16" s="8" t="s">
        <v>27</v>
      </c>
      <c r="K16" s="9" t="s">
        <v>23</v>
      </c>
      <c r="L16" s="6">
        <v>860</v>
      </c>
      <c r="M16" s="10">
        <f t="shared" si="1"/>
        <v>0.12690355329949238</v>
      </c>
      <c r="N16" s="12" t="s">
        <v>23</v>
      </c>
      <c r="O16" s="10" t="s">
        <v>23</v>
      </c>
      <c r="P16" s="1" t="s">
        <v>23</v>
      </c>
      <c r="Q16" s="15">
        <v>985</v>
      </c>
      <c r="R16" s="15">
        <v>842.96511627906978</v>
      </c>
      <c r="S16" s="15">
        <v>810</v>
      </c>
      <c r="T16" s="4" t="s">
        <v>23</v>
      </c>
      <c r="U16" s="15">
        <v>842.96511627906978</v>
      </c>
      <c r="V16" s="15">
        <v>810</v>
      </c>
      <c r="W16" s="15">
        <f>S16</f>
        <v>810</v>
      </c>
      <c r="X16" s="15">
        <f t="shared" si="2"/>
        <v>810</v>
      </c>
      <c r="Y16" s="21" t="s">
        <v>23</v>
      </c>
      <c r="Z16" s="15">
        <v>1020</v>
      </c>
      <c r="AA16" s="15" t="s">
        <v>23</v>
      </c>
    </row>
    <row r="17" spans="1:27" ht="18" customHeight="1" x14ac:dyDescent="0.25">
      <c r="A17" s="16">
        <f t="shared" si="0"/>
        <v>15</v>
      </c>
      <c r="B17" s="17" t="s">
        <v>47</v>
      </c>
      <c r="C17" s="4">
        <v>12</v>
      </c>
      <c r="D17" s="15">
        <v>20</v>
      </c>
      <c r="E17" s="15">
        <v>17.937219730941703</v>
      </c>
      <c r="F17" s="15">
        <v>17.164803570279144</v>
      </c>
      <c r="G17" s="7"/>
      <c r="H17" s="15">
        <v>17.937219730941703</v>
      </c>
      <c r="I17" s="15">
        <v>17.164803570279144</v>
      </c>
      <c r="J17" s="8">
        <v>15</v>
      </c>
      <c r="K17" s="9">
        <v>0.25</v>
      </c>
      <c r="L17" s="6">
        <v>17.164803570279144</v>
      </c>
      <c r="M17" s="10">
        <f t="shared" si="1"/>
        <v>0.1417598214860428</v>
      </c>
      <c r="N17" s="12">
        <v>17</v>
      </c>
      <c r="O17" s="22">
        <v>0.15</v>
      </c>
      <c r="P17" s="1"/>
      <c r="Q17" s="15">
        <v>20</v>
      </c>
      <c r="R17" s="15">
        <v>16.667749999999998</v>
      </c>
      <c r="S17" s="15">
        <v>15.95</v>
      </c>
      <c r="T17" s="4" t="s">
        <v>23</v>
      </c>
      <c r="U17" s="15">
        <v>16.667749999999998</v>
      </c>
      <c r="V17" s="15">
        <v>15.95</v>
      </c>
      <c r="W17" s="15">
        <f t="shared" ref="W17:W23" si="3">Q17-(Q17*K17)</f>
        <v>15</v>
      </c>
      <c r="X17" s="15">
        <f t="shared" si="2"/>
        <v>15.95</v>
      </c>
      <c r="Y17" s="15">
        <f t="shared" ref="Y17:Y23" si="4">Q17-(Q17*O17)</f>
        <v>17</v>
      </c>
      <c r="Z17" s="15" t="s">
        <v>23</v>
      </c>
      <c r="AA17" s="15" t="s">
        <v>23</v>
      </c>
    </row>
    <row r="18" spans="1:27" ht="18" customHeight="1" x14ac:dyDescent="0.25">
      <c r="A18" s="16">
        <f t="shared" si="0"/>
        <v>16</v>
      </c>
      <c r="B18" s="5" t="s">
        <v>48</v>
      </c>
      <c r="C18" s="4">
        <v>60</v>
      </c>
      <c r="D18" s="6">
        <v>10</v>
      </c>
      <c r="E18" s="6">
        <v>9</v>
      </c>
      <c r="F18" s="6">
        <v>8.5</v>
      </c>
      <c r="G18" s="7"/>
      <c r="H18" s="6">
        <v>9</v>
      </c>
      <c r="I18" s="6">
        <v>8.5</v>
      </c>
      <c r="J18" s="11">
        <v>9</v>
      </c>
      <c r="K18" s="9">
        <v>0.25</v>
      </c>
      <c r="L18" s="6">
        <v>8.5</v>
      </c>
      <c r="M18" s="10">
        <f t="shared" si="1"/>
        <v>0.15</v>
      </c>
      <c r="N18" s="11">
        <v>9</v>
      </c>
      <c r="O18" s="10">
        <v>0.25</v>
      </c>
      <c r="P18" s="1" t="s">
        <v>23</v>
      </c>
      <c r="Q18" s="18">
        <v>15</v>
      </c>
      <c r="R18" s="15">
        <v>12.652941176470588</v>
      </c>
      <c r="S18" s="15">
        <v>11.95</v>
      </c>
      <c r="T18" s="4" t="s">
        <v>23</v>
      </c>
      <c r="U18" s="15">
        <v>12.652941176470588</v>
      </c>
      <c r="V18" s="18">
        <v>11.95</v>
      </c>
      <c r="W18" s="18">
        <f t="shared" si="3"/>
        <v>11.25</v>
      </c>
      <c r="X18" s="18">
        <f t="shared" si="2"/>
        <v>11.95</v>
      </c>
      <c r="Y18" s="27">
        <f t="shared" si="4"/>
        <v>11.25</v>
      </c>
      <c r="Z18" s="15">
        <v>12.75</v>
      </c>
      <c r="AA18" s="15" t="s">
        <v>23</v>
      </c>
    </row>
    <row r="19" spans="1:27" ht="18" customHeight="1" x14ac:dyDescent="0.25">
      <c r="A19" s="16">
        <f t="shared" si="0"/>
        <v>17</v>
      </c>
      <c r="B19" s="5" t="s">
        <v>49</v>
      </c>
      <c r="C19" s="4">
        <v>10</v>
      </c>
      <c r="D19" s="6">
        <v>25</v>
      </c>
      <c r="E19" s="6">
        <v>22.5</v>
      </c>
      <c r="F19" s="6">
        <v>21.5</v>
      </c>
      <c r="G19" s="7" t="s">
        <v>50</v>
      </c>
      <c r="H19" s="6">
        <v>20.76923076923077</v>
      </c>
      <c r="I19" s="6">
        <v>19.846153846153847</v>
      </c>
      <c r="J19" s="11">
        <v>20</v>
      </c>
      <c r="K19" s="9">
        <v>0.2</v>
      </c>
      <c r="L19" s="6">
        <v>21.5</v>
      </c>
      <c r="M19" s="10">
        <f t="shared" si="1"/>
        <v>0.14000000000000001</v>
      </c>
      <c r="N19" s="11">
        <v>20</v>
      </c>
      <c r="O19" s="10">
        <v>0.2</v>
      </c>
      <c r="P19" s="1" t="s">
        <v>23</v>
      </c>
      <c r="Q19" s="15">
        <v>25</v>
      </c>
      <c r="R19" s="15">
        <v>22.5</v>
      </c>
      <c r="S19" s="15">
        <v>21.5</v>
      </c>
      <c r="T19" s="4" t="s">
        <v>51</v>
      </c>
      <c r="U19" s="15">
        <v>21.09375</v>
      </c>
      <c r="V19" s="15">
        <v>20.15625</v>
      </c>
      <c r="W19" s="15">
        <f t="shared" si="3"/>
        <v>20</v>
      </c>
      <c r="X19" s="15">
        <f t="shared" si="2"/>
        <v>21.5</v>
      </c>
      <c r="Y19" s="26">
        <f t="shared" si="4"/>
        <v>20</v>
      </c>
      <c r="Z19" s="15">
        <v>17</v>
      </c>
      <c r="AA19" s="15" t="s">
        <v>23</v>
      </c>
    </row>
    <row r="20" spans="1:27" ht="18" customHeight="1" x14ac:dyDescent="0.25">
      <c r="A20" s="29">
        <f t="shared" si="0"/>
        <v>18</v>
      </c>
      <c r="B20" s="5" t="s">
        <v>52</v>
      </c>
      <c r="C20" s="4">
        <v>10</v>
      </c>
      <c r="D20" s="6">
        <v>35</v>
      </c>
      <c r="E20" s="6">
        <v>31.25</v>
      </c>
      <c r="F20" s="6">
        <v>30</v>
      </c>
      <c r="G20" s="7" t="s">
        <v>50</v>
      </c>
      <c r="H20" s="6">
        <v>28.846153846153847</v>
      </c>
      <c r="I20" s="6">
        <v>27.692307692307693</v>
      </c>
      <c r="J20" s="30">
        <v>26.25</v>
      </c>
      <c r="K20" s="9">
        <v>0.25</v>
      </c>
      <c r="L20" s="6">
        <v>30</v>
      </c>
      <c r="M20" s="31">
        <f t="shared" si="1"/>
        <v>0.14285714285714285</v>
      </c>
      <c r="N20" s="30">
        <v>28</v>
      </c>
      <c r="O20" s="31">
        <v>0.2</v>
      </c>
      <c r="P20" s="1" t="s">
        <v>23</v>
      </c>
      <c r="Q20" s="15">
        <v>35</v>
      </c>
      <c r="R20" s="15">
        <v>31.25</v>
      </c>
      <c r="S20" s="15">
        <v>30</v>
      </c>
      <c r="T20" s="4" t="s">
        <v>53</v>
      </c>
      <c r="U20" s="15">
        <f>R20*10/11</f>
        <v>28.40909090909091</v>
      </c>
      <c r="V20" s="15">
        <f>S20*10/11</f>
        <v>27.272727272727273</v>
      </c>
      <c r="W20" s="15">
        <f t="shared" si="3"/>
        <v>26.25</v>
      </c>
      <c r="X20" s="15">
        <f t="shared" si="2"/>
        <v>30</v>
      </c>
      <c r="Y20" s="15">
        <f t="shared" si="4"/>
        <v>28</v>
      </c>
      <c r="Z20" s="15" t="s">
        <v>23</v>
      </c>
      <c r="AA20" s="15" t="s">
        <v>23</v>
      </c>
    </row>
    <row r="21" spans="1:27" ht="18" customHeight="1" x14ac:dyDescent="0.25">
      <c r="A21" s="16">
        <f t="shared" si="0"/>
        <v>19</v>
      </c>
      <c r="B21" s="5" t="s">
        <v>54</v>
      </c>
      <c r="C21" s="4">
        <v>10</v>
      </c>
      <c r="D21" s="6">
        <v>15</v>
      </c>
      <c r="E21" s="6">
        <v>13</v>
      </c>
      <c r="F21" s="6">
        <v>12.25</v>
      </c>
      <c r="G21" s="7" t="s">
        <v>53</v>
      </c>
      <c r="H21" s="6">
        <v>11.818181818181818</v>
      </c>
      <c r="I21" s="6">
        <v>11.136363636363637</v>
      </c>
      <c r="J21" s="11">
        <v>11.25</v>
      </c>
      <c r="K21" s="9">
        <v>0.25</v>
      </c>
      <c r="L21" s="6">
        <v>12.25</v>
      </c>
      <c r="M21" s="10">
        <f t="shared" si="1"/>
        <v>0.18333333333333332</v>
      </c>
      <c r="N21" s="11">
        <v>10.5</v>
      </c>
      <c r="O21" s="10">
        <v>0.3</v>
      </c>
      <c r="P21" s="1" t="s">
        <v>23</v>
      </c>
      <c r="Q21" s="15">
        <v>15</v>
      </c>
      <c r="R21" s="15">
        <v>13</v>
      </c>
      <c r="S21" s="15">
        <v>12.25</v>
      </c>
      <c r="T21" s="4" t="s">
        <v>53</v>
      </c>
      <c r="U21" s="15">
        <v>11.818181818181818</v>
      </c>
      <c r="V21" s="15">
        <v>11.136363636363637</v>
      </c>
      <c r="W21" s="15">
        <f t="shared" si="3"/>
        <v>11.25</v>
      </c>
      <c r="X21" s="15">
        <f t="shared" si="2"/>
        <v>12.25</v>
      </c>
      <c r="Y21" s="15">
        <f t="shared" si="4"/>
        <v>10.5</v>
      </c>
      <c r="Z21" s="15" t="s">
        <v>23</v>
      </c>
      <c r="AA21" s="15" t="s">
        <v>23</v>
      </c>
    </row>
    <row r="22" spans="1:27" ht="18" customHeight="1" x14ac:dyDescent="0.25">
      <c r="A22" s="16">
        <f t="shared" si="0"/>
        <v>20</v>
      </c>
      <c r="B22" s="5" t="s">
        <v>55</v>
      </c>
      <c r="C22" s="4">
        <v>12</v>
      </c>
      <c r="D22" s="6">
        <v>40</v>
      </c>
      <c r="E22" s="6">
        <v>35</v>
      </c>
      <c r="F22" s="6">
        <v>32</v>
      </c>
      <c r="G22" s="7" t="s">
        <v>56</v>
      </c>
      <c r="H22" s="6">
        <v>29.166666666666668</v>
      </c>
      <c r="I22" s="6">
        <v>26.666666666666668</v>
      </c>
      <c r="J22" s="11">
        <v>32</v>
      </c>
      <c r="K22" s="9">
        <v>0.2</v>
      </c>
      <c r="L22" s="6">
        <v>32</v>
      </c>
      <c r="M22" s="10">
        <f t="shared" si="1"/>
        <v>0.2</v>
      </c>
      <c r="N22" s="11">
        <v>32</v>
      </c>
      <c r="O22" s="10">
        <v>0.2</v>
      </c>
      <c r="P22" s="1" t="s">
        <v>23</v>
      </c>
      <c r="Q22" s="15">
        <v>40</v>
      </c>
      <c r="R22" s="15">
        <v>35</v>
      </c>
      <c r="S22" s="15">
        <v>32</v>
      </c>
      <c r="T22" s="4" t="s">
        <v>56</v>
      </c>
      <c r="U22" s="15">
        <v>29.166666666666668</v>
      </c>
      <c r="V22" s="15">
        <v>26.666666666666668</v>
      </c>
      <c r="W22" s="15">
        <f t="shared" si="3"/>
        <v>32</v>
      </c>
      <c r="X22" s="15">
        <f t="shared" si="2"/>
        <v>32</v>
      </c>
      <c r="Y22" s="15">
        <f t="shared" si="4"/>
        <v>32</v>
      </c>
      <c r="Z22" s="15" t="s">
        <v>23</v>
      </c>
      <c r="AA22" s="15" t="s">
        <v>23</v>
      </c>
    </row>
    <row r="23" spans="1:27" ht="18" customHeight="1" x14ac:dyDescent="0.25">
      <c r="A23" s="16">
        <f t="shared" si="0"/>
        <v>21</v>
      </c>
      <c r="B23" s="5" t="s">
        <v>57</v>
      </c>
      <c r="C23" s="4">
        <v>6</v>
      </c>
      <c r="D23" s="6">
        <v>40</v>
      </c>
      <c r="E23" s="6">
        <v>35</v>
      </c>
      <c r="F23" s="6">
        <v>32</v>
      </c>
      <c r="G23" s="7" t="s">
        <v>58</v>
      </c>
      <c r="H23" s="6">
        <v>29.166666666666668</v>
      </c>
      <c r="I23" s="6">
        <v>26.666666666666668</v>
      </c>
      <c r="J23" s="11">
        <v>32</v>
      </c>
      <c r="K23" s="9">
        <v>0.2</v>
      </c>
      <c r="L23" s="6">
        <v>32</v>
      </c>
      <c r="M23" s="10">
        <f t="shared" si="1"/>
        <v>0.2</v>
      </c>
      <c r="N23" s="11">
        <v>32</v>
      </c>
      <c r="O23" s="10">
        <v>0.2</v>
      </c>
      <c r="P23" s="1" t="s">
        <v>23</v>
      </c>
      <c r="Q23" s="15">
        <v>40</v>
      </c>
      <c r="R23" s="15">
        <v>35</v>
      </c>
      <c r="S23" s="15">
        <v>32</v>
      </c>
      <c r="T23" s="4" t="s">
        <v>58</v>
      </c>
      <c r="U23" s="15">
        <v>29.166666666666668</v>
      </c>
      <c r="V23" s="15">
        <v>26.666666666666668</v>
      </c>
      <c r="W23" s="15">
        <f t="shared" si="3"/>
        <v>32</v>
      </c>
      <c r="X23" s="15">
        <f t="shared" si="2"/>
        <v>32</v>
      </c>
      <c r="Y23" s="26">
        <f t="shared" si="4"/>
        <v>32</v>
      </c>
      <c r="Z23" s="15">
        <v>26.6</v>
      </c>
      <c r="AA23" s="15" t="s">
        <v>23</v>
      </c>
    </row>
    <row r="24" spans="1:27" ht="18" customHeight="1" x14ac:dyDescent="0.25">
      <c r="A24" s="16">
        <f t="shared" si="0"/>
        <v>22</v>
      </c>
      <c r="B24" s="5" t="s">
        <v>59</v>
      </c>
      <c r="C24" s="4">
        <v>1</v>
      </c>
      <c r="D24" s="6">
        <v>110</v>
      </c>
      <c r="E24" s="6">
        <v>95.70210544631982</v>
      </c>
      <c r="F24" s="6">
        <v>88.001936042592945</v>
      </c>
      <c r="G24" s="7"/>
      <c r="H24" s="6">
        <v>95.70210544631982</v>
      </c>
      <c r="I24" s="6">
        <v>88.001936042592945</v>
      </c>
      <c r="J24" s="11">
        <v>88</v>
      </c>
      <c r="K24" s="9" t="s">
        <v>23</v>
      </c>
      <c r="L24" s="6">
        <v>88.001936042592945</v>
      </c>
      <c r="M24" s="10">
        <f>(D24-L24)/D24</f>
        <v>0.19998239961279141</v>
      </c>
      <c r="N24" s="11">
        <v>82</v>
      </c>
      <c r="O24" s="10">
        <v>0.2</v>
      </c>
      <c r="P24" s="1" t="s">
        <v>23</v>
      </c>
      <c r="Q24" s="15">
        <v>110</v>
      </c>
      <c r="R24" s="15">
        <v>95.699999999999989</v>
      </c>
      <c r="S24" s="15">
        <v>88</v>
      </c>
      <c r="T24" s="4" t="s">
        <v>23</v>
      </c>
      <c r="U24" s="15">
        <v>95.699999999999989</v>
      </c>
      <c r="V24" s="15">
        <v>88</v>
      </c>
      <c r="W24" s="15">
        <f>S24</f>
        <v>88</v>
      </c>
      <c r="X24" s="15">
        <f t="shared" si="2"/>
        <v>88</v>
      </c>
      <c r="Y24" s="26">
        <v>82</v>
      </c>
      <c r="Z24" s="15">
        <v>79.05</v>
      </c>
      <c r="AA24" s="15" t="s">
        <v>23</v>
      </c>
    </row>
    <row r="25" spans="1:27" ht="18" customHeight="1" x14ac:dyDescent="0.25">
      <c r="A25" s="16">
        <f t="shared" si="0"/>
        <v>23</v>
      </c>
      <c r="B25" s="5" t="s">
        <v>60</v>
      </c>
      <c r="C25" s="4">
        <v>1</v>
      </c>
      <c r="D25" s="6">
        <v>120</v>
      </c>
      <c r="E25" s="6">
        <v>104.40229685053072</v>
      </c>
      <c r="F25" s="6">
        <v>96.002112046465029</v>
      </c>
      <c r="G25" s="7"/>
      <c r="H25" s="6">
        <v>104.40229685053072</v>
      </c>
      <c r="I25" s="6">
        <v>96.002112046465029</v>
      </c>
      <c r="J25" s="11">
        <v>99.6</v>
      </c>
      <c r="K25" s="9" t="s">
        <v>23</v>
      </c>
      <c r="L25" s="6">
        <v>96.002112046465029</v>
      </c>
      <c r="M25" s="10">
        <f>(D25-L25)/D25</f>
        <v>0.19998239961279143</v>
      </c>
      <c r="N25" s="11">
        <v>96</v>
      </c>
      <c r="O25" s="10">
        <v>0.2</v>
      </c>
      <c r="P25" s="1" t="s">
        <v>23</v>
      </c>
      <c r="Q25" s="15">
        <v>120</v>
      </c>
      <c r="R25" s="15">
        <v>104.4</v>
      </c>
      <c r="S25" s="15">
        <v>96</v>
      </c>
      <c r="T25" s="4" t="s">
        <v>23</v>
      </c>
      <c r="U25" s="15">
        <v>104.4</v>
      </c>
      <c r="V25" s="15">
        <v>96</v>
      </c>
      <c r="W25" s="15">
        <f>S25</f>
        <v>96</v>
      </c>
      <c r="X25" s="15">
        <f t="shared" si="2"/>
        <v>96</v>
      </c>
      <c r="Y25" s="15">
        <f>Q25-(Q25*O25)</f>
        <v>96</v>
      </c>
      <c r="Z25" s="15" t="s">
        <v>23</v>
      </c>
      <c r="AA25" s="15" t="s">
        <v>23</v>
      </c>
    </row>
    <row r="26" spans="1:27" ht="18" customHeight="1" x14ac:dyDescent="0.25">
      <c r="A26" s="16">
        <f t="shared" si="0"/>
        <v>24</v>
      </c>
      <c r="B26" s="5" t="s">
        <v>61</v>
      </c>
      <c r="C26" s="4">
        <v>1</v>
      </c>
      <c r="D26" s="6">
        <v>395</v>
      </c>
      <c r="E26" s="6">
        <v>355</v>
      </c>
      <c r="F26" s="6">
        <v>340</v>
      </c>
      <c r="G26" s="7" t="s">
        <v>62</v>
      </c>
      <c r="H26" s="6">
        <v>355</v>
      </c>
      <c r="I26" s="6">
        <v>340</v>
      </c>
      <c r="J26" s="8" t="s">
        <v>27</v>
      </c>
      <c r="K26" s="9" t="s">
        <v>23</v>
      </c>
      <c r="L26" s="6">
        <v>340</v>
      </c>
      <c r="M26" s="10">
        <f>(D26-L26)/D26</f>
        <v>0.13924050632911392</v>
      </c>
      <c r="N26" s="12" t="s">
        <v>23</v>
      </c>
      <c r="O26" s="12" t="s">
        <v>23</v>
      </c>
      <c r="P26" s="1" t="s">
        <v>23</v>
      </c>
      <c r="Q26" s="15">
        <v>395</v>
      </c>
      <c r="R26" s="15">
        <v>355</v>
      </c>
      <c r="S26" s="15">
        <v>340</v>
      </c>
      <c r="T26" s="4" t="s">
        <v>23</v>
      </c>
      <c r="U26" s="15">
        <v>355</v>
      </c>
      <c r="V26" s="15">
        <v>340</v>
      </c>
      <c r="W26" s="15">
        <f>S26</f>
        <v>340</v>
      </c>
      <c r="X26" s="15">
        <f t="shared" si="2"/>
        <v>340</v>
      </c>
      <c r="Y26" s="21" t="s">
        <v>23</v>
      </c>
      <c r="Z26" s="15" t="s">
        <v>23</v>
      </c>
      <c r="AA26" s="15" t="s">
        <v>23</v>
      </c>
    </row>
    <row r="27" spans="1:27" ht="18" customHeight="1" x14ac:dyDescent="0.25">
      <c r="A27" s="16">
        <f t="shared" si="0"/>
        <v>25</v>
      </c>
      <c r="B27" s="5" t="s">
        <v>63</v>
      </c>
      <c r="C27" s="4">
        <v>5</v>
      </c>
      <c r="D27" s="6">
        <v>90</v>
      </c>
      <c r="E27" s="6">
        <v>80</v>
      </c>
      <c r="F27" s="6">
        <v>75</v>
      </c>
      <c r="G27" s="7" t="s">
        <v>64</v>
      </c>
      <c r="H27" s="6">
        <v>73</v>
      </c>
      <c r="I27" s="6">
        <v>68</v>
      </c>
      <c r="J27" s="11">
        <v>78.3</v>
      </c>
      <c r="K27" s="9">
        <v>0.13</v>
      </c>
      <c r="L27" s="6">
        <v>75</v>
      </c>
      <c r="M27" s="10">
        <f t="shared" si="1"/>
        <v>0.16666666666666666</v>
      </c>
      <c r="N27" s="11">
        <v>73.8</v>
      </c>
      <c r="O27" s="10">
        <v>0.18</v>
      </c>
      <c r="P27" s="1" t="s">
        <v>23</v>
      </c>
      <c r="Q27" s="15">
        <v>90</v>
      </c>
      <c r="R27" s="15">
        <v>80</v>
      </c>
      <c r="S27" s="15">
        <v>75</v>
      </c>
      <c r="T27" s="4" t="s">
        <v>65</v>
      </c>
      <c r="U27" s="15">
        <v>75</v>
      </c>
      <c r="V27" s="15">
        <v>70</v>
      </c>
      <c r="W27" s="15">
        <f>Q27-(Q27*K27)</f>
        <v>78.3</v>
      </c>
      <c r="X27" s="15">
        <f t="shared" si="2"/>
        <v>75</v>
      </c>
      <c r="Y27" s="26">
        <f>Q27-(Q27*O27)</f>
        <v>73.8</v>
      </c>
      <c r="Z27" s="15">
        <v>73.36</v>
      </c>
      <c r="AA27" s="15" t="s">
        <v>23</v>
      </c>
    </row>
    <row r="28" spans="1:27" ht="18" customHeight="1" x14ac:dyDescent="0.25">
      <c r="A28" s="16">
        <f t="shared" si="0"/>
        <v>26</v>
      </c>
      <c r="B28" s="5" t="s">
        <v>66</v>
      </c>
      <c r="C28" s="4">
        <v>1</v>
      </c>
      <c r="D28" s="6">
        <v>200</v>
      </c>
      <c r="E28" s="6">
        <v>180</v>
      </c>
      <c r="F28" s="6">
        <v>170</v>
      </c>
      <c r="G28" s="7"/>
      <c r="H28" s="6">
        <v>180</v>
      </c>
      <c r="I28" s="6">
        <v>170</v>
      </c>
      <c r="J28" s="11">
        <v>174</v>
      </c>
      <c r="K28" s="9">
        <v>0.13</v>
      </c>
      <c r="L28" s="6">
        <v>170</v>
      </c>
      <c r="M28" s="10">
        <f t="shared" si="1"/>
        <v>0.15</v>
      </c>
      <c r="N28" s="11">
        <v>164</v>
      </c>
      <c r="O28" s="10">
        <v>0.18</v>
      </c>
      <c r="P28" s="1" t="s">
        <v>23</v>
      </c>
      <c r="Q28" s="15">
        <v>200</v>
      </c>
      <c r="R28" s="15">
        <v>180</v>
      </c>
      <c r="S28" s="15">
        <v>170</v>
      </c>
      <c r="T28" s="4" t="s">
        <v>23</v>
      </c>
      <c r="U28" s="15">
        <v>180</v>
      </c>
      <c r="V28" s="15">
        <v>170</v>
      </c>
      <c r="W28" s="15">
        <f>Q28-(Q28*K28)</f>
        <v>174</v>
      </c>
      <c r="X28" s="15">
        <f t="shared" si="2"/>
        <v>170</v>
      </c>
      <c r="Y28" s="15">
        <f>Q28-(Q28*O28)</f>
        <v>164</v>
      </c>
      <c r="Z28" s="15" t="s">
        <v>23</v>
      </c>
      <c r="AA28" s="15" t="s">
        <v>23</v>
      </c>
    </row>
    <row r="29" spans="1:27" ht="18" customHeight="1" x14ac:dyDescent="0.25">
      <c r="A29" s="16">
        <f t="shared" si="0"/>
        <v>27</v>
      </c>
      <c r="B29" s="5" t="s">
        <v>67</v>
      </c>
      <c r="C29" s="4">
        <v>1</v>
      </c>
      <c r="D29" s="6">
        <v>390</v>
      </c>
      <c r="E29" s="6">
        <v>340</v>
      </c>
      <c r="F29" s="6">
        <v>330</v>
      </c>
      <c r="G29" s="7" t="s">
        <v>68</v>
      </c>
      <c r="H29" s="6">
        <v>322</v>
      </c>
      <c r="I29" s="6">
        <v>313</v>
      </c>
      <c r="J29" s="8" t="s">
        <v>27</v>
      </c>
      <c r="K29" s="9" t="s">
        <v>27</v>
      </c>
      <c r="L29" s="6">
        <v>330</v>
      </c>
      <c r="M29" s="10">
        <f t="shared" si="1"/>
        <v>0.15384615384615385</v>
      </c>
      <c r="N29" s="12" t="s">
        <v>23</v>
      </c>
      <c r="O29" s="10">
        <v>0.18</v>
      </c>
      <c r="P29" s="1" t="s">
        <v>23</v>
      </c>
      <c r="Q29" s="15">
        <v>390</v>
      </c>
      <c r="R29" s="15">
        <v>340</v>
      </c>
      <c r="S29" s="15">
        <v>330</v>
      </c>
      <c r="T29" s="4" t="s">
        <v>23</v>
      </c>
      <c r="U29" s="15">
        <v>340</v>
      </c>
      <c r="V29" s="15">
        <v>330</v>
      </c>
      <c r="W29" s="15">
        <f>S29</f>
        <v>330</v>
      </c>
      <c r="X29" s="15">
        <f t="shared" si="2"/>
        <v>330</v>
      </c>
      <c r="Y29" s="21" t="s">
        <v>23</v>
      </c>
      <c r="Z29" s="15">
        <v>340</v>
      </c>
      <c r="AA29" s="15" t="s">
        <v>23</v>
      </c>
    </row>
    <row r="30" spans="1:27" ht="18" customHeight="1" x14ac:dyDescent="0.25">
      <c r="A30" s="16">
        <f t="shared" si="0"/>
        <v>28</v>
      </c>
      <c r="B30" s="5" t="s">
        <v>69</v>
      </c>
      <c r="C30" s="4">
        <v>1</v>
      </c>
      <c r="D30" s="6" t="s">
        <v>23</v>
      </c>
      <c r="E30" s="6" t="s">
        <v>23</v>
      </c>
      <c r="F30" s="6">
        <v>240</v>
      </c>
      <c r="G30" s="7"/>
      <c r="H30" s="6">
        <v>0</v>
      </c>
      <c r="I30" s="6">
        <v>240</v>
      </c>
      <c r="J30" s="11" t="s">
        <v>23</v>
      </c>
      <c r="K30" s="11" t="s">
        <v>23</v>
      </c>
      <c r="L30" s="11" t="s">
        <v>23</v>
      </c>
      <c r="M30" s="11" t="s">
        <v>23</v>
      </c>
      <c r="N30" s="11" t="s">
        <v>23</v>
      </c>
      <c r="O30" s="11" t="s">
        <v>23</v>
      </c>
      <c r="P30" s="1" t="s">
        <v>23</v>
      </c>
      <c r="Q30" s="15" t="s">
        <v>23</v>
      </c>
      <c r="R30" s="15" t="s">
        <v>23</v>
      </c>
      <c r="S30" s="15">
        <v>240</v>
      </c>
      <c r="T30" s="4" t="s">
        <v>23</v>
      </c>
      <c r="U30" s="15" t="s">
        <v>23</v>
      </c>
      <c r="V30" s="15">
        <v>240</v>
      </c>
      <c r="W30" s="15" t="s">
        <v>23</v>
      </c>
      <c r="X30" s="15" t="s">
        <v>23</v>
      </c>
      <c r="Y30" s="21" t="s">
        <v>23</v>
      </c>
      <c r="Z30" s="21" t="s">
        <v>23</v>
      </c>
      <c r="AA30" s="15" t="s">
        <v>23</v>
      </c>
    </row>
    <row r="31" spans="1:27" ht="18" customHeight="1" x14ac:dyDescent="0.25">
      <c r="A31" s="16">
        <f t="shared" si="0"/>
        <v>29</v>
      </c>
      <c r="B31" s="5" t="s">
        <v>70</v>
      </c>
      <c r="C31" s="4">
        <v>90</v>
      </c>
      <c r="D31" s="6">
        <v>145</v>
      </c>
      <c r="E31" s="6">
        <v>130.63063063063061</v>
      </c>
      <c r="F31" s="6">
        <v>125.60637560637558</v>
      </c>
      <c r="G31" s="136" t="s">
        <v>71</v>
      </c>
      <c r="H31" s="6">
        <v>118.03063063063061</v>
      </c>
      <c r="I31" s="6">
        <v>113.00637560637558</v>
      </c>
      <c r="J31" s="11">
        <v>116</v>
      </c>
      <c r="K31" s="10">
        <v>0.2</v>
      </c>
      <c r="L31" s="11">
        <v>116</v>
      </c>
      <c r="M31" s="10">
        <v>0.2</v>
      </c>
      <c r="N31" s="11">
        <v>116</v>
      </c>
      <c r="O31" s="11">
        <v>0.2</v>
      </c>
      <c r="P31" s="11">
        <f>$D31-($D31*18.5%)</f>
        <v>118.175</v>
      </c>
      <c r="Q31" s="20">
        <v>150</v>
      </c>
      <c r="R31" s="20">
        <v>135.13513513513513</v>
      </c>
      <c r="S31" s="15">
        <v>129.93762993762994</v>
      </c>
      <c r="T31" s="136" t="s">
        <v>71</v>
      </c>
      <c r="U31" s="13">
        <v>122.53513513513514</v>
      </c>
      <c r="V31" s="15">
        <v>117.33762993762994</v>
      </c>
      <c r="W31" s="15">
        <v>120</v>
      </c>
      <c r="X31" s="15">
        <v>120</v>
      </c>
      <c r="Y31" s="28">
        <v>120</v>
      </c>
      <c r="Z31" s="15">
        <v>131.88999999999999</v>
      </c>
      <c r="AA31" s="15">
        <v>123</v>
      </c>
    </row>
    <row r="32" spans="1:27" ht="18" customHeight="1" x14ac:dyDescent="0.25">
      <c r="A32" s="16">
        <f t="shared" si="0"/>
        <v>30</v>
      </c>
      <c r="B32" s="5" t="s">
        <v>72</v>
      </c>
      <c r="C32" s="4">
        <v>36</v>
      </c>
      <c r="D32" s="6">
        <v>355</v>
      </c>
      <c r="E32" s="6">
        <v>319.81981981981977</v>
      </c>
      <c r="F32" s="6">
        <v>307.51905751905747</v>
      </c>
      <c r="G32" s="136"/>
      <c r="H32" s="6">
        <v>288.31981981981977</v>
      </c>
      <c r="I32" s="6">
        <v>276.01905751905747</v>
      </c>
      <c r="J32" s="11">
        <v>284</v>
      </c>
      <c r="K32" s="10">
        <v>0.2</v>
      </c>
      <c r="L32" s="11">
        <v>284</v>
      </c>
      <c r="M32" s="10">
        <v>0.2</v>
      </c>
      <c r="N32" s="11">
        <v>284</v>
      </c>
      <c r="O32" s="11">
        <v>0.2</v>
      </c>
      <c r="P32" s="11">
        <f t="shared" ref="P32:P39" si="5">$D32-($D32*18.5%)</f>
        <v>289.32499999999999</v>
      </c>
      <c r="Q32" s="20">
        <v>360</v>
      </c>
      <c r="R32" s="20">
        <v>324.32432432432432</v>
      </c>
      <c r="S32" s="15">
        <v>311.85031185031181</v>
      </c>
      <c r="T32" s="136"/>
      <c r="U32" s="13">
        <v>292.82432432432432</v>
      </c>
      <c r="V32" s="15">
        <v>280.35031185031181</v>
      </c>
      <c r="W32" s="15">
        <v>288</v>
      </c>
      <c r="X32" s="15">
        <v>288</v>
      </c>
      <c r="Y32" s="28">
        <v>288</v>
      </c>
      <c r="Z32" s="15">
        <v>312.41000000000003</v>
      </c>
      <c r="AA32" s="15">
        <v>295.2</v>
      </c>
    </row>
    <row r="33" spans="1:27" ht="18" customHeight="1" x14ac:dyDescent="0.25">
      <c r="A33" s="16">
        <f t="shared" si="0"/>
        <v>31</v>
      </c>
      <c r="B33" s="5" t="s">
        <v>73</v>
      </c>
      <c r="C33" s="4">
        <v>18</v>
      </c>
      <c r="D33" s="6">
        <v>695</v>
      </c>
      <c r="E33" s="6">
        <v>626.12612612612611</v>
      </c>
      <c r="F33" s="6">
        <v>602.04435204435197</v>
      </c>
      <c r="G33" s="136"/>
      <c r="H33" s="6">
        <v>563.12612612612611</v>
      </c>
      <c r="I33" s="6">
        <v>539.04435204435197</v>
      </c>
      <c r="J33" s="11">
        <v>556</v>
      </c>
      <c r="K33" s="10">
        <v>0.2</v>
      </c>
      <c r="L33" s="11">
        <v>556</v>
      </c>
      <c r="M33" s="10">
        <v>0.2</v>
      </c>
      <c r="N33" s="11">
        <v>556</v>
      </c>
      <c r="O33" s="11">
        <v>0.2</v>
      </c>
      <c r="P33" s="11">
        <f t="shared" si="5"/>
        <v>566.42499999999995</v>
      </c>
      <c r="Q33" s="20">
        <v>710</v>
      </c>
      <c r="R33" s="20">
        <v>639.63963963963954</v>
      </c>
      <c r="S33" s="15">
        <v>615.03811503811494</v>
      </c>
      <c r="T33" s="136"/>
      <c r="U33" s="13">
        <v>576.63963963963954</v>
      </c>
      <c r="V33" s="15">
        <v>552.03811503811494</v>
      </c>
      <c r="W33" s="15">
        <v>568</v>
      </c>
      <c r="X33" s="15">
        <v>568</v>
      </c>
      <c r="Y33" s="28">
        <v>568</v>
      </c>
      <c r="Z33" s="15">
        <v>616.20000000000005</v>
      </c>
      <c r="AA33" s="15">
        <v>582.20000000000005</v>
      </c>
    </row>
    <row r="34" spans="1:27" ht="18" customHeight="1" x14ac:dyDescent="0.25">
      <c r="A34" s="16">
        <f t="shared" si="0"/>
        <v>32</v>
      </c>
      <c r="B34" s="5" t="s">
        <v>74</v>
      </c>
      <c r="C34" s="4">
        <v>4</v>
      </c>
      <c r="D34" s="6">
        <v>3450</v>
      </c>
      <c r="E34" s="6">
        <v>3108.1081081081079</v>
      </c>
      <c r="F34" s="6">
        <v>2988.5654885654881</v>
      </c>
      <c r="G34" s="136"/>
      <c r="H34" s="6">
        <v>2793.1081081081079</v>
      </c>
      <c r="I34" s="6">
        <v>2673.5654885654881</v>
      </c>
      <c r="J34" s="11">
        <v>2760</v>
      </c>
      <c r="K34" s="10">
        <v>0.2</v>
      </c>
      <c r="L34" s="11">
        <v>2760</v>
      </c>
      <c r="M34" s="10">
        <v>0.2</v>
      </c>
      <c r="N34" s="11">
        <v>2760</v>
      </c>
      <c r="O34" s="11">
        <v>0.2</v>
      </c>
      <c r="P34" s="11">
        <f t="shared" si="5"/>
        <v>2811.75</v>
      </c>
      <c r="Q34" s="19">
        <v>3495</v>
      </c>
      <c r="R34" s="19">
        <v>3148.6486486486483</v>
      </c>
      <c r="S34" s="15">
        <v>3027.5467775467773</v>
      </c>
      <c r="T34" s="136"/>
      <c r="U34" s="13">
        <v>2833.6486486486483</v>
      </c>
      <c r="V34" s="15">
        <v>2712.5467775467773</v>
      </c>
      <c r="W34" s="15">
        <v>2796</v>
      </c>
      <c r="X34" s="15">
        <v>2796</v>
      </c>
      <c r="Y34" s="28">
        <v>2796</v>
      </c>
      <c r="Z34" s="15">
        <v>3037.14</v>
      </c>
      <c r="AA34" s="15">
        <v>2865.9</v>
      </c>
    </row>
    <row r="35" spans="1:27" ht="18" customHeight="1" x14ac:dyDescent="0.25">
      <c r="A35" s="16">
        <f t="shared" si="0"/>
        <v>33</v>
      </c>
      <c r="B35" s="5" t="s">
        <v>75</v>
      </c>
      <c r="C35" s="4">
        <v>80</v>
      </c>
      <c r="D35" s="6">
        <v>150</v>
      </c>
      <c r="E35" s="6">
        <v>135.13513513513513</v>
      </c>
      <c r="F35" s="6">
        <v>129.93762993762994</v>
      </c>
      <c r="G35" s="136"/>
      <c r="H35" s="6">
        <v>122.53513513513514</v>
      </c>
      <c r="I35" s="6">
        <v>117.33762993762994</v>
      </c>
      <c r="J35" s="11">
        <v>120</v>
      </c>
      <c r="K35" s="10">
        <v>0.2</v>
      </c>
      <c r="L35" s="11">
        <v>120</v>
      </c>
      <c r="M35" s="10">
        <v>0.2</v>
      </c>
      <c r="N35" s="11">
        <v>120</v>
      </c>
      <c r="O35" s="11">
        <v>0.2</v>
      </c>
      <c r="P35" s="11">
        <f t="shared" si="5"/>
        <v>122.25</v>
      </c>
      <c r="Q35" s="19">
        <v>150</v>
      </c>
      <c r="R35" s="19">
        <v>135.13513513513513</v>
      </c>
      <c r="S35" s="15">
        <v>129.93762993762994</v>
      </c>
      <c r="T35" s="136"/>
      <c r="U35" s="13">
        <v>122.53513513513514</v>
      </c>
      <c r="V35" s="15">
        <v>117.33762993762994</v>
      </c>
      <c r="W35" s="15">
        <v>120</v>
      </c>
      <c r="X35" s="15">
        <v>120</v>
      </c>
      <c r="Y35" s="15">
        <v>120</v>
      </c>
      <c r="Z35" s="15" t="s">
        <v>23</v>
      </c>
      <c r="AA35" s="15">
        <v>123</v>
      </c>
    </row>
    <row r="36" spans="1:27" ht="18" customHeight="1" x14ac:dyDescent="0.25">
      <c r="A36" s="16">
        <f t="shared" si="0"/>
        <v>34</v>
      </c>
      <c r="B36" s="5" t="s">
        <v>76</v>
      </c>
      <c r="C36" s="4">
        <v>36</v>
      </c>
      <c r="D36" s="6">
        <v>360</v>
      </c>
      <c r="E36" s="6">
        <v>324.32432432432432</v>
      </c>
      <c r="F36" s="6">
        <v>311.85031185031181</v>
      </c>
      <c r="G36" s="136"/>
      <c r="H36" s="6">
        <v>292.82432432432432</v>
      </c>
      <c r="I36" s="6">
        <v>280.35031185031181</v>
      </c>
      <c r="J36" s="11">
        <v>288</v>
      </c>
      <c r="K36" s="10">
        <v>0.2</v>
      </c>
      <c r="L36" s="11">
        <v>288</v>
      </c>
      <c r="M36" s="10">
        <v>0.2</v>
      </c>
      <c r="N36" s="11">
        <v>288</v>
      </c>
      <c r="O36" s="11">
        <v>0.2</v>
      </c>
      <c r="P36" s="11">
        <f t="shared" si="5"/>
        <v>293.39999999999998</v>
      </c>
      <c r="Q36" s="19">
        <v>360</v>
      </c>
      <c r="R36" s="19">
        <v>324.32432432432432</v>
      </c>
      <c r="S36" s="15">
        <v>311.85031185031181</v>
      </c>
      <c r="T36" s="136"/>
      <c r="U36" s="13">
        <v>292.82432432432432</v>
      </c>
      <c r="V36" s="15">
        <v>280.35031185031181</v>
      </c>
      <c r="W36" s="15">
        <v>288</v>
      </c>
      <c r="X36" s="15">
        <v>288</v>
      </c>
      <c r="Y36" s="15">
        <v>288</v>
      </c>
      <c r="Z36" s="15" t="s">
        <v>23</v>
      </c>
      <c r="AA36" s="15">
        <v>295.2</v>
      </c>
    </row>
    <row r="37" spans="1:27" ht="18" customHeight="1" x14ac:dyDescent="0.25">
      <c r="A37" s="16">
        <f t="shared" si="0"/>
        <v>35</v>
      </c>
      <c r="B37" s="5" t="s">
        <v>77</v>
      </c>
      <c r="C37" s="4">
        <v>18</v>
      </c>
      <c r="D37" s="6">
        <v>710</v>
      </c>
      <c r="E37" s="6">
        <v>639.63963963963954</v>
      </c>
      <c r="F37" s="6">
        <v>615.03811503811494</v>
      </c>
      <c r="G37" s="136"/>
      <c r="H37" s="6">
        <v>576.63963963963954</v>
      </c>
      <c r="I37" s="6">
        <v>552.03811503811494</v>
      </c>
      <c r="J37" s="11">
        <v>568</v>
      </c>
      <c r="K37" s="10">
        <v>0.2</v>
      </c>
      <c r="L37" s="11">
        <v>568</v>
      </c>
      <c r="M37" s="10">
        <v>0.2</v>
      </c>
      <c r="N37" s="11">
        <v>568</v>
      </c>
      <c r="O37" s="11">
        <v>0.2</v>
      </c>
      <c r="P37" s="11">
        <f t="shared" si="5"/>
        <v>578.65</v>
      </c>
      <c r="Q37" s="19">
        <v>710</v>
      </c>
      <c r="R37" s="19">
        <v>639.63963963963954</v>
      </c>
      <c r="S37" s="15">
        <v>615.03811503811494</v>
      </c>
      <c r="T37" s="136"/>
      <c r="U37" s="13">
        <v>576.63963963963954</v>
      </c>
      <c r="V37" s="15">
        <v>552.03811503811494</v>
      </c>
      <c r="W37" s="15">
        <v>568</v>
      </c>
      <c r="X37" s="15">
        <v>568</v>
      </c>
      <c r="Y37" s="15">
        <v>568</v>
      </c>
      <c r="Z37" s="15" t="s">
        <v>23</v>
      </c>
      <c r="AA37" s="15">
        <v>582.20000000000005</v>
      </c>
    </row>
    <row r="38" spans="1:27" ht="18" customHeight="1" x14ac:dyDescent="0.25">
      <c r="A38" s="16">
        <f t="shared" si="0"/>
        <v>36</v>
      </c>
      <c r="B38" s="5" t="s">
        <v>78</v>
      </c>
      <c r="C38" s="4">
        <v>18</v>
      </c>
      <c r="D38" s="6">
        <v>675</v>
      </c>
      <c r="E38" s="6">
        <v>608.10810810810801</v>
      </c>
      <c r="F38" s="6">
        <v>584.7193347193346</v>
      </c>
      <c r="G38" s="136" t="s">
        <v>79</v>
      </c>
      <c r="H38" s="6">
        <v>553.10810810810801</v>
      </c>
      <c r="I38" s="6">
        <v>529.7193347193346</v>
      </c>
      <c r="J38" s="11">
        <v>540</v>
      </c>
      <c r="K38" s="10">
        <v>0.2</v>
      </c>
      <c r="L38" s="11">
        <v>540</v>
      </c>
      <c r="M38" s="10">
        <v>0.2</v>
      </c>
      <c r="N38" s="11">
        <v>540</v>
      </c>
      <c r="O38" s="11">
        <v>0.2</v>
      </c>
      <c r="P38" s="11">
        <f t="shared" si="5"/>
        <v>550.125</v>
      </c>
      <c r="Q38" s="19">
        <v>675</v>
      </c>
      <c r="R38" s="19">
        <v>608.10810810810801</v>
      </c>
      <c r="S38" s="15">
        <v>584.7193347193346</v>
      </c>
      <c r="T38" s="136" t="s">
        <v>79</v>
      </c>
      <c r="U38" s="13">
        <v>553.10810810810801</v>
      </c>
      <c r="V38" s="15">
        <v>529.7193347193346</v>
      </c>
      <c r="W38" s="15">
        <v>540</v>
      </c>
      <c r="X38" s="15">
        <v>540</v>
      </c>
      <c r="Y38" s="28">
        <v>540</v>
      </c>
      <c r="Z38" s="15">
        <v>604.64</v>
      </c>
      <c r="AA38" s="15">
        <v>553.5</v>
      </c>
    </row>
    <row r="39" spans="1:27" ht="18" customHeight="1" x14ac:dyDescent="0.25">
      <c r="A39" s="16">
        <f t="shared" si="0"/>
        <v>37</v>
      </c>
      <c r="B39" s="5" t="s">
        <v>80</v>
      </c>
      <c r="C39" s="4">
        <v>18</v>
      </c>
      <c r="D39" s="6">
        <v>665</v>
      </c>
      <c r="E39" s="6">
        <v>599.09909909909902</v>
      </c>
      <c r="F39" s="6">
        <v>576.05682605682591</v>
      </c>
      <c r="G39" s="137"/>
      <c r="H39" s="6">
        <v>544.09909909909902</v>
      </c>
      <c r="I39" s="6">
        <v>521.05682605682591</v>
      </c>
      <c r="J39" s="11">
        <v>532</v>
      </c>
      <c r="K39" s="10">
        <v>0.2</v>
      </c>
      <c r="L39" s="11">
        <v>532</v>
      </c>
      <c r="M39" s="10">
        <v>0.2</v>
      </c>
      <c r="N39" s="11">
        <v>532</v>
      </c>
      <c r="O39" s="11">
        <v>0.2</v>
      </c>
      <c r="P39" s="11">
        <f t="shared" si="5"/>
        <v>541.97500000000002</v>
      </c>
      <c r="Q39" s="19">
        <v>665</v>
      </c>
      <c r="R39" s="19">
        <v>599.09909909909902</v>
      </c>
      <c r="S39" s="15">
        <v>576.05682605682591</v>
      </c>
      <c r="T39" s="137"/>
      <c r="U39" s="14">
        <v>544.09909909909902</v>
      </c>
      <c r="V39" s="15">
        <v>521.05682605682591</v>
      </c>
      <c r="W39" s="15">
        <v>532</v>
      </c>
      <c r="X39" s="15">
        <v>532</v>
      </c>
      <c r="Y39" s="28">
        <v>532</v>
      </c>
      <c r="Z39" s="15">
        <v>550</v>
      </c>
      <c r="AA39" s="15">
        <v>545.29999999999995</v>
      </c>
    </row>
    <row r="40" spans="1:27" ht="18" customHeight="1" x14ac:dyDescent="0.25">
      <c r="A40" s="16">
        <f t="shared" si="0"/>
        <v>38</v>
      </c>
      <c r="B40" s="5" t="s">
        <v>81</v>
      </c>
      <c r="C40" s="4">
        <v>12</v>
      </c>
      <c r="D40" s="6">
        <v>80</v>
      </c>
      <c r="E40" s="6">
        <v>74</v>
      </c>
      <c r="F40" s="6">
        <v>71</v>
      </c>
      <c r="G40" s="138" t="s">
        <v>82</v>
      </c>
      <c r="H40" s="7" t="s">
        <v>23</v>
      </c>
      <c r="I40" s="7" t="s">
        <v>23</v>
      </c>
      <c r="J40" s="7" t="s">
        <v>23</v>
      </c>
      <c r="K40" s="12"/>
      <c r="L40" s="7" t="s">
        <v>23</v>
      </c>
      <c r="M40" s="12"/>
      <c r="N40" s="7" t="s">
        <v>23</v>
      </c>
      <c r="O40" s="12"/>
      <c r="P40" s="7" t="s">
        <v>23</v>
      </c>
      <c r="Q40" s="6">
        <v>80</v>
      </c>
      <c r="R40" s="6">
        <v>74</v>
      </c>
      <c r="S40" s="6">
        <v>71</v>
      </c>
      <c r="T40" s="138" t="s">
        <v>82</v>
      </c>
      <c r="U40" s="7" t="s">
        <v>23</v>
      </c>
      <c r="V40" s="7" t="s">
        <v>23</v>
      </c>
      <c r="W40" s="7" t="s">
        <v>23</v>
      </c>
      <c r="X40" s="7" t="s">
        <v>23</v>
      </c>
      <c r="Y40" s="7" t="s">
        <v>23</v>
      </c>
      <c r="Z40" s="15"/>
      <c r="AA40" s="7" t="s">
        <v>23</v>
      </c>
    </row>
    <row r="41" spans="1:27" ht="18" customHeight="1" x14ac:dyDescent="0.25">
      <c r="A41" s="16">
        <f t="shared" si="0"/>
        <v>39</v>
      </c>
      <c r="B41" s="5" t="s">
        <v>83</v>
      </c>
      <c r="C41" s="4">
        <v>12</v>
      </c>
      <c r="D41" s="6">
        <v>75</v>
      </c>
      <c r="E41" s="6">
        <v>70</v>
      </c>
      <c r="F41" s="6">
        <v>67</v>
      </c>
      <c r="G41" s="138"/>
      <c r="H41" s="7" t="s">
        <v>23</v>
      </c>
      <c r="I41" s="7" t="s">
        <v>23</v>
      </c>
      <c r="J41" s="7" t="s">
        <v>23</v>
      </c>
      <c r="K41" s="12"/>
      <c r="L41" s="7" t="s">
        <v>23</v>
      </c>
      <c r="M41" s="12"/>
      <c r="N41" s="7" t="s">
        <v>23</v>
      </c>
      <c r="O41" s="12"/>
      <c r="P41" s="7" t="s">
        <v>23</v>
      </c>
      <c r="Q41" s="6">
        <v>75</v>
      </c>
      <c r="R41" s="6">
        <v>70</v>
      </c>
      <c r="S41" s="6">
        <v>67</v>
      </c>
      <c r="T41" s="138"/>
      <c r="U41" s="7" t="s">
        <v>23</v>
      </c>
      <c r="V41" s="7" t="s">
        <v>23</v>
      </c>
      <c r="W41" s="7" t="s">
        <v>23</v>
      </c>
      <c r="X41" s="7" t="s">
        <v>23</v>
      </c>
      <c r="Y41" s="7" t="s">
        <v>23</v>
      </c>
      <c r="Z41" s="15"/>
      <c r="AA41" s="7" t="s">
        <v>23</v>
      </c>
    </row>
    <row r="42" spans="1:27" ht="18" customHeight="1" x14ac:dyDescent="0.25">
      <c r="A42" s="16">
        <f t="shared" si="0"/>
        <v>40</v>
      </c>
      <c r="B42" s="5" t="s">
        <v>84</v>
      </c>
      <c r="C42" s="4">
        <v>30</v>
      </c>
      <c r="D42" s="6">
        <v>10</v>
      </c>
      <c r="E42" s="6" t="s">
        <v>23</v>
      </c>
      <c r="F42" s="6">
        <v>8</v>
      </c>
      <c r="G42" s="7"/>
      <c r="H42" s="7" t="s">
        <v>23</v>
      </c>
      <c r="I42" s="7" t="s">
        <v>23</v>
      </c>
      <c r="J42" s="7" t="s">
        <v>23</v>
      </c>
      <c r="K42" s="12"/>
      <c r="L42" s="7" t="s">
        <v>23</v>
      </c>
      <c r="M42" s="12"/>
      <c r="N42" s="7" t="s">
        <v>23</v>
      </c>
      <c r="O42" s="12"/>
      <c r="P42" s="7" t="s">
        <v>23</v>
      </c>
      <c r="Q42" s="6">
        <v>10</v>
      </c>
      <c r="R42" s="6" t="s">
        <v>23</v>
      </c>
      <c r="S42" s="6">
        <v>8</v>
      </c>
      <c r="T42" s="4" t="s">
        <v>23</v>
      </c>
      <c r="U42" s="7" t="s">
        <v>23</v>
      </c>
      <c r="V42" s="7" t="s">
        <v>23</v>
      </c>
      <c r="W42" s="7" t="s">
        <v>23</v>
      </c>
      <c r="X42" s="7" t="s">
        <v>23</v>
      </c>
      <c r="Y42" s="7" t="s">
        <v>23</v>
      </c>
      <c r="Z42" s="15"/>
      <c r="AA42" s="7" t="s">
        <v>23</v>
      </c>
    </row>
    <row r="43" spans="1:27" ht="18" customHeight="1" x14ac:dyDescent="0.25">
      <c r="A43" s="16">
        <f t="shared" si="0"/>
        <v>41</v>
      </c>
      <c r="B43" s="5" t="s">
        <v>85</v>
      </c>
      <c r="C43" s="4">
        <v>24</v>
      </c>
      <c r="D43" s="6">
        <v>30</v>
      </c>
      <c r="E43" s="6" t="s">
        <v>23</v>
      </c>
      <c r="F43" s="6">
        <v>26</v>
      </c>
      <c r="G43" s="7"/>
      <c r="H43" s="7" t="s">
        <v>23</v>
      </c>
      <c r="I43" s="7" t="s">
        <v>23</v>
      </c>
      <c r="J43" s="7" t="s">
        <v>23</v>
      </c>
      <c r="K43" s="12"/>
      <c r="L43" s="7" t="s">
        <v>23</v>
      </c>
      <c r="M43" s="12"/>
      <c r="N43" s="7" t="s">
        <v>23</v>
      </c>
      <c r="O43" s="12"/>
      <c r="P43" s="7" t="s">
        <v>23</v>
      </c>
      <c r="Q43" s="6">
        <v>30</v>
      </c>
      <c r="R43" s="6" t="s">
        <v>23</v>
      </c>
      <c r="S43" s="6">
        <v>26</v>
      </c>
      <c r="T43" s="4" t="s">
        <v>23</v>
      </c>
      <c r="U43" s="7" t="s">
        <v>23</v>
      </c>
      <c r="V43" s="7" t="s">
        <v>23</v>
      </c>
      <c r="W43" s="7" t="s">
        <v>23</v>
      </c>
      <c r="X43" s="7" t="s">
        <v>23</v>
      </c>
      <c r="Y43" s="7" t="s">
        <v>23</v>
      </c>
      <c r="Z43" s="15"/>
      <c r="AA43" s="7" t="s">
        <v>23</v>
      </c>
    </row>
  </sheetData>
  <mergeCells count="10">
    <mergeCell ref="Q1:AA1"/>
    <mergeCell ref="T31:T37"/>
    <mergeCell ref="T38:T39"/>
    <mergeCell ref="T40:T41"/>
    <mergeCell ref="J1:P1"/>
    <mergeCell ref="G31:G37"/>
    <mergeCell ref="G38:G39"/>
    <mergeCell ref="G40:G41"/>
    <mergeCell ref="D1:I1"/>
    <mergeCell ref="A1:C1"/>
  </mergeCells>
  <pageMargins left="0.31496062992125984" right="0.31496062992125984" top="0.35433070866141736" bottom="0.35433070866141736" header="0.31496062992125984" footer="0.31496062992125984"/>
  <pageSetup paperSize="9" scale="4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51"/>
  <sheetViews>
    <sheetView workbookViewId="0">
      <pane xSplit="7" ySplit="2" topLeftCell="H3" activePane="bottomRight" state="frozen"/>
      <selection pane="topRight" activeCell="E1" sqref="E1"/>
      <selection pane="bottomLeft" activeCell="A4" sqref="A4"/>
      <selection pane="bottomRight" activeCell="F12" sqref="F12"/>
    </sheetView>
  </sheetViews>
  <sheetFormatPr defaultColWidth="9.140625" defaultRowHeight="15" customHeight="1" x14ac:dyDescent="0.25"/>
  <cols>
    <col min="1" max="1" width="5.85546875" style="33" bestFit="1" customWidth="1"/>
    <col min="2" max="2" width="36.140625" style="33" bestFit="1" customWidth="1"/>
    <col min="3" max="3" width="6.5703125" style="33" customWidth="1"/>
    <col min="4" max="4" width="10.140625" style="33" customWidth="1"/>
    <col min="5" max="5" width="8.5703125" style="33" bestFit="1" customWidth="1"/>
    <col min="6" max="6" width="10.42578125" style="33" customWidth="1"/>
    <col min="7" max="8" width="10" style="33" customWidth="1"/>
    <col min="9" max="9" width="30.140625" style="33" customWidth="1"/>
    <col min="10" max="10" width="8.7109375" style="33" customWidth="1"/>
    <col min="11" max="11" width="7.5703125" style="33" customWidth="1"/>
    <col min="12" max="12" width="9.42578125" style="33" bestFit="1" customWidth="1"/>
    <col min="13" max="15" width="7.5703125" style="33" customWidth="1"/>
    <col min="16" max="16" width="9.7109375" style="33" customWidth="1"/>
    <col min="17" max="17" width="10.28515625" style="33" customWidth="1"/>
    <col min="18" max="18" width="18.85546875" style="33" customWidth="1"/>
    <col min="19" max="19" width="8.42578125" style="33" customWidth="1"/>
    <col min="20" max="20" width="10.28515625" style="33" customWidth="1"/>
    <col min="21" max="24" width="9.140625" style="33" customWidth="1"/>
    <col min="25" max="26" width="9.140625" style="33" hidden="1" customWidth="1"/>
    <col min="27" max="27" width="9.140625" style="33" customWidth="1"/>
    <col min="28" max="29" width="9.140625" style="33" hidden="1" customWidth="1"/>
    <col min="30" max="30" width="9.140625" style="33" customWidth="1"/>
    <col min="31" max="33" width="9.140625" style="33" hidden="1" customWidth="1"/>
    <col min="34" max="34" width="9.140625" style="33" customWidth="1"/>
    <col min="35" max="36" width="9.140625" style="33" hidden="1" customWidth="1"/>
    <col min="37" max="37" width="9.140625" style="33" customWidth="1"/>
    <col min="38" max="40" width="9.140625" style="33" hidden="1" customWidth="1"/>
    <col min="41" max="41" width="9.140625" style="33" customWidth="1"/>
    <col min="42" max="42" width="7.85546875" style="33" hidden="1" customWidth="1"/>
    <col min="43" max="44" width="0" style="33" hidden="1" customWidth="1"/>
    <col min="45" max="16384" width="9.140625" style="33"/>
  </cols>
  <sheetData>
    <row r="1" spans="1:44" ht="20.100000000000001" customHeight="1" x14ac:dyDescent="0.25">
      <c r="B1" s="79" t="s">
        <v>233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V1" s="146" t="s">
        <v>86</v>
      </c>
      <c r="W1" s="146"/>
      <c r="X1" s="146"/>
      <c r="Y1" s="146" t="s">
        <v>87</v>
      </c>
      <c r="Z1" s="146"/>
      <c r="AA1" s="146"/>
      <c r="AB1" s="146" t="s">
        <v>88</v>
      </c>
      <c r="AC1" s="146"/>
      <c r="AD1" s="146"/>
      <c r="AE1" s="67"/>
      <c r="AF1" s="146" t="s">
        <v>89</v>
      </c>
      <c r="AG1" s="146"/>
      <c r="AH1" s="146"/>
      <c r="AI1" s="144" t="s">
        <v>226</v>
      </c>
      <c r="AJ1" s="145"/>
      <c r="AK1" s="145"/>
      <c r="AL1" s="144" t="s">
        <v>103</v>
      </c>
      <c r="AM1" s="145"/>
      <c r="AN1" s="145"/>
    </row>
    <row r="2" spans="1:44" ht="30" x14ac:dyDescent="0.25">
      <c r="A2" s="23" t="s">
        <v>4</v>
      </c>
      <c r="B2" s="23" t="s">
        <v>5</v>
      </c>
      <c r="C2" s="23" t="s">
        <v>90</v>
      </c>
      <c r="D2" s="23" t="s">
        <v>6</v>
      </c>
      <c r="E2" s="23" t="s">
        <v>7</v>
      </c>
      <c r="F2" s="23" t="s">
        <v>8</v>
      </c>
      <c r="G2" s="23" t="s">
        <v>9</v>
      </c>
      <c r="H2" s="23" t="s">
        <v>91</v>
      </c>
      <c r="I2" s="24" t="s">
        <v>92</v>
      </c>
      <c r="J2" s="24" t="s">
        <v>11</v>
      </c>
      <c r="K2" s="24" t="s">
        <v>12</v>
      </c>
      <c r="L2" s="23" t="s">
        <v>91</v>
      </c>
      <c r="M2" s="74" t="s">
        <v>13</v>
      </c>
      <c r="N2" s="74" t="s">
        <v>15</v>
      </c>
      <c r="O2" s="74" t="s">
        <v>93</v>
      </c>
      <c r="P2" s="74" t="s">
        <v>19</v>
      </c>
      <c r="Q2" s="74" t="s">
        <v>94</v>
      </c>
      <c r="R2" s="25" t="s">
        <v>228</v>
      </c>
      <c r="S2" s="25" t="s">
        <v>229</v>
      </c>
      <c r="V2" s="23" t="s">
        <v>7</v>
      </c>
      <c r="W2" s="23" t="s">
        <v>8</v>
      </c>
      <c r="X2" s="23" t="s">
        <v>9</v>
      </c>
      <c r="Y2" s="23" t="s">
        <v>7</v>
      </c>
      <c r="Z2" s="23" t="s">
        <v>8</v>
      </c>
      <c r="AA2" s="23" t="s">
        <v>9</v>
      </c>
      <c r="AB2" s="23" t="s">
        <v>7</v>
      </c>
      <c r="AC2" s="23" t="s">
        <v>8</v>
      </c>
      <c r="AD2" s="23" t="s">
        <v>9</v>
      </c>
      <c r="AE2" s="23"/>
      <c r="AF2" s="23" t="s">
        <v>7</v>
      </c>
      <c r="AG2" s="23" t="s">
        <v>8</v>
      </c>
      <c r="AH2" s="23" t="s">
        <v>9</v>
      </c>
      <c r="AI2" s="23" t="s">
        <v>7</v>
      </c>
      <c r="AJ2" s="23" t="s">
        <v>8</v>
      </c>
      <c r="AK2" s="23" t="s">
        <v>9</v>
      </c>
      <c r="AL2" s="23" t="s">
        <v>7</v>
      </c>
      <c r="AM2" s="23" t="s">
        <v>8</v>
      </c>
      <c r="AN2" s="23" t="s">
        <v>9</v>
      </c>
      <c r="AP2" s="37" t="s">
        <v>222</v>
      </c>
      <c r="AQ2" s="33" t="str">
        <f>VLOOKUP(AP2,'[1]Product Master'!$F$1:$L$57,7,0)</f>
        <v>MRP</v>
      </c>
    </row>
    <row r="3" spans="1:44" ht="15" customHeight="1" x14ac:dyDescent="0.25">
      <c r="A3" s="4">
        <v>1</v>
      </c>
      <c r="B3" s="108" t="s">
        <v>21</v>
      </c>
      <c r="C3" s="4" t="s">
        <v>23</v>
      </c>
      <c r="D3" s="4">
        <v>24</v>
      </c>
      <c r="E3" s="6">
        <v>29</v>
      </c>
      <c r="F3" s="6">
        <v>26.09</v>
      </c>
      <c r="G3" s="6">
        <v>25.16</v>
      </c>
      <c r="H3" s="6">
        <f>G3</f>
        <v>25.16</v>
      </c>
      <c r="I3" s="4" t="s">
        <v>23</v>
      </c>
      <c r="J3" s="6">
        <v>26.09</v>
      </c>
      <c r="K3" s="6">
        <v>25.16</v>
      </c>
      <c r="L3" s="6">
        <f>K3</f>
        <v>25.16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23</v>
      </c>
      <c r="S3" s="6"/>
      <c r="U3" s="77"/>
      <c r="V3" s="68"/>
      <c r="W3" s="68"/>
      <c r="X3" s="68"/>
      <c r="Y3" s="46"/>
      <c r="Z3" s="46"/>
      <c r="AA3" s="46" t="e" vm="1">
        <v>#VALUE!</v>
      </c>
      <c r="AB3" s="47"/>
      <c r="AC3" s="47"/>
      <c r="AD3" s="47"/>
      <c r="AE3" s="47"/>
      <c r="AF3" s="48"/>
      <c r="AG3" s="48"/>
      <c r="AH3" s="48" t="e" vm="2">
        <v>#VALUE!</v>
      </c>
      <c r="AI3" s="47"/>
      <c r="AJ3" s="47"/>
      <c r="AK3" s="47"/>
      <c r="AL3" s="47"/>
      <c r="AM3" s="47"/>
      <c r="AN3" s="47"/>
      <c r="AP3" s="104">
        <v>1003</v>
      </c>
      <c r="AQ3" s="33">
        <f>VLOOKUP(AP3,'[1]Product Master'!$F$1:$L$57,7,0)</f>
        <v>29</v>
      </c>
    </row>
    <row r="4" spans="1:44" ht="15.95" customHeight="1" x14ac:dyDescent="0.25">
      <c r="A4" s="4">
        <f>ROW()-3</f>
        <v>1</v>
      </c>
      <c r="B4" s="108" t="s">
        <v>25</v>
      </c>
      <c r="C4" s="4" t="s">
        <v>23</v>
      </c>
      <c r="D4" s="4">
        <v>24</v>
      </c>
      <c r="E4" s="6">
        <v>29</v>
      </c>
      <c r="F4" s="6">
        <v>27.4</v>
      </c>
      <c r="G4" s="6">
        <v>26.75</v>
      </c>
      <c r="H4" s="6">
        <f>G4</f>
        <v>26.75</v>
      </c>
      <c r="I4" s="4" t="s">
        <v>95</v>
      </c>
      <c r="J4" s="6">
        <f>F4-(25/24)</f>
        <v>26.358333333333331</v>
      </c>
      <c r="K4" s="6">
        <f>G4-(25/24)</f>
        <v>25.708333333333332</v>
      </c>
      <c r="L4" s="6">
        <f>K4</f>
        <v>25.708333333333332</v>
      </c>
      <c r="M4" s="6" t="s">
        <v>23</v>
      </c>
      <c r="N4" s="6" t="s">
        <v>23</v>
      </c>
      <c r="O4" s="6" t="s">
        <v>23</v>
      </c>
      <c r="P4" s="6">
        <f t="shared" ref="P4:P30" si="0">F4</f>
        <v>27.4</v>
      </c>
      <c r="Q4" s="6" t="s">
        <v>23</v>
      </c>
      <c r="R4" s="6" t="s">
        <v>23</v>
      </c>
      <c r="S4" s="6"/>
      <c r="U4" s="77"/>
      <c r="V4" s="45">
        <v>29</v>
      </c>
      <c r="W4" s="45"/>
      <c r="X4" s="45">
        <v>26.83</v>
      </c>
      <c r="Y4" s="46">
        <v>29</v>
      </c>
      <c r="Z4" s="46">
        <v>27.915000000000003</v>
      </c>
      <c r="AA4" s="46">
        <v>27.34</v>
      </c>
      <c r="AB4" s="47">
        <v>28</v>
      </c>
      <c r="AC4" s="47">
        <v>27.25</v>
      </c>
      <c r="AD4" s="47">
        <v>26.6</v>
      </c>
      <c r="AE4" s="47">
        <f>AD4-(25/24)</f>
        <v>25.558333333333334</v>
      </c>
      <c r="AF4" s="48"/>
      <c r="AG4" s="48"/>
      <c r="AH4" s="48"/>
      <c r="AI4" s="47">
        <v>29</v>
      </c>
      <c r="AJ4" s="47">
        <v>27.85</v>
      </c>
      <c r="AK4" s="47">
        <v>26.5</v>
      </c>
      <c r="AL4" s="47"/>
      <c r="AM4" s="47"/>
      <c r="AN4" s="47"/>
      <c r="AP4" s="104">
        <v>1003</v>
      </c>
      <c r="AQ4" s="33">
        <f>VLOOKUP(AP4,'[1]Product Master'!$F$1:$L$57,7,0)</f>
        <v>29</v>
      </c>
      <c r="AR4" s="33" t="str">
        <f t="shared" ref="AR4:AR32" si="1">IF(E4=AQ4,"true","false")</f>
        <v>true</v>
      </c>
    </row>
    <row r="5" spans="1:44" ht="15.95" customHeight="1" x14ac:dyDescent="0.25">
      <c r="A5" s="4">
        <f t="shared" ref="A5:A49" si="2">ROW()-3</f>
        <v>2</v>
      </c>
      <c r="B5" s="108" t="s">
        <v>28</v>
      </c>
      <c r="C5" s="4" t="s">
        <v>23</v>
      </c>
      <c r="D5" s="4">
        <v>24</v>
      </c>
      <c r="E5" s="6">
        <v>29</v>
      </c>
      <c r="F5" s="6">
        <v>27.4</v>
      </c>
      <c r="G5" s="6">
        <v>26.75</v>
      </c>
      <c r="H5" s="6">
        <f>G5</f>
        <v>26.75</v>
      </c>
      <c r="I5" s="4" t="s">
        <v>23</v>
      </c>
      <c r="J5" s="6">
        <v>27.4</v>
      </c>
      <c r="K5" s="6">
        <v>26.75</v>
      </c>
      <c r="L5" s="6">
        <f>K5</f>
        <v>26.75</v>
      </c>
      <c r="M5" s="6">
        <v>26.75</v>
      </c>
      <c r="N5" s="6">
        <v>26.75</v>
      </c>
      <c r="O5" s="6">
        <v>27.1</v>
      </c>
      <c r="P5" s="6">
        <f t="shared" si="0"/>
        <v>27.4</v>
      </c>
      <c r="Q5" s="6">
        <f>N5</f>
        <v>26.75</v>
      </c>
      <c r="R5" s="6" t="s">
        <v>23</v>
      </c>
      <c r="S5" s="6"/>
      <c r="U5" s="77"/>
      <c r="V5" s="68"/>
      <c r="W5" s="68"/>
      <c r="X5" s="68"/>
      <c r="Y5" s="46">
        <v>28</v>
      </c>
      <c r="Z5" s="46">
        <v>26.7</v>
      </c>
      <c r="AA5" s="46">
        <v>26.1</v>
      </c>
      <c r="AB5" s="47">
        <v>29</v>
      </c>
      <c r="AC5" s="47">
        <v>27.65</v>
      </c>
      <c r="AD5" s="47">
        <v>27.12</v>
      </c>
      <c r="AE5" s="47">
        <f>AD5-(25/24)</f>
        <v>26.078333333333333</v>
      </c>
      <c r="AF5" s="48"/>
      <c r="AG5" s="48"/>
      <c r="AH5" s="48"/>
      <c r="AI5" s="47"/>
      <c r="AJ5" s="47"/>
      <c r="AK5" s="47"/>
      <c r="AL5" s="47"/>
      <c r="AM5" s="47"/>
      <c r="AN5" s="47"/>
      <c r="AP5" s="104">
        <v>999</v>
      </c>
      <c r="AQ5" s="33">
        <f>VLOOKUP(AP5,'[1]Product Master'!$F$1:$L$57,7,0)</f>
        <v>29</v>
      </c>
      <c r="AR5" s="33" t="str">
        <f t="shared" si="1"/>
        <v>true</v>
      </c>
    </row>
    <row r="6" spans="1:44" ht="15.95" customHeight="1" x14ac:dyDescent="0.25">
      <c r="A6" s="4">
        <f t="shared" si="2"/>
        <v>3</v>
      </c>
      <c r="B6" s="5" t="s">
        <v>29</v>
      </c>
      <c r="C6" s="75">
        <v>0.05</v>
      </c>
      <c r="D6" s="4">
        <v>12</v>
      </c>
      <c r="E6" s="6">
        <v>25</v>
      </c>
      <c r="F6" s="6">
        <v>21.924418604651162</v>
      </c>
      <c r="G6" s="6">
        <v>20.95</v>
      </c>
      <c r="H6" s="6">
        <f>G6/1.05</f>
        <v>19.952380952380953</v>
      </c>
      <c r="I6" s="4" t="s">
        <v>23</v>
      </c>
      <c r="J6" s="6">
        <v>21.924418604651162</v>
      </c>
      <c r="K6" s="6">
        <v>20.95</v>
      </c>
      <c r="L6" s="6">
        <f>K6/1.05</f>
        <v>19.952380952380953</v>
      </c>
      <c r="M6" s="6">
        <v>20.95</v>
      </c>
      <c r="N6" s="6">
        <v>20.95</v>
      </c>
      <c r="O6" s="6">
        <v>20.95</v>
      </c>
      <c r="P6" s="6">
        <f t="shared" si="0"/>
        <v>21.924418604651162</v>
      </c>
      <c r="Q6" s="6">
        <f t="shared" ref="Q6:Q32" si="3">N6</f>
        <v>20.95</v>
      </c>
      <c r="R6" s="6" t="s">
        <v>23</v>
      </c>
      <c r="S6" s="6"/>
      <c r="V6" s="45">
        <v>25</v>
      </c>
      <c r="W6" s="45">
        <v>22.35</v>
      </c>
      <c r="X6" s="45">
        <v>21.05</v>
      </c>
      <c r="Y6" s="46">
        <v>23</v>
      </c>
      <c r="Z6" s="46">
        <v>20.59</v>
      </c>
      <c r="AA6" s="46">
        <v>19.43</v>
      </c>
      <c r="AB6" s="47">
        <v>30</v>
      </c>
      <c r="AC6" s="47"/>
      <c r="AD6" s="47">
        <v>22.72</v>
      </c>
      <c r="AE6" s="47"/>
      <c r="AF6" s="48"/>
      <c r="AG6" s="48"/>
      <c r="AH6" s="48"/>
      <c r="AI6" s="47"/>
      <c r="AJ6" s="47"/>
      <c r="AK6" s="47"/>
      <c r="AL6" s="47"/>
      <c r="AM6" s="47"/>
      <c r="AN6" s="47"/>
      <c r="AP6" s="104">
        <v>1011</v>
      </c>
      <c r="AQ6" s="33">
        <f>VLOOKUP(AP6,'[1]Product Master'!$F$1:$L$57,7,0)</f>
        <v>25</v>
      </c>
      <c r="AR6" s="33" t="str">
        <f t="shared" si="1"/>
        <v>true</v>
      </c>
    </row>
    <row r="7" spans="1:44" ht="15.95" customHeight="1" x14ac:dyDescent="0.25">
      <c r="A7" s="4">
        <f t="shared" si="2"/>
        <v>4</v>
      </c>
      <c r="B7" s="5" t="s">
        <v>31</v>
      </c>
      <c r="C7" s="75">
        <v>0.05</v>
      </c>
      <c r="D7" s="4">
        <v>60</v>
      </c>
      <c r="E7" s="6">
        <v>18</v>
      </c>
      <c r="F7" s="6">
        <v>14.625</v>
      </c>
      <c r="G7" s="6">
        <v>13.95</v>
      </c>
      <c r="H7" s="6">
        <f t="shared" ref="H7:H44" si="4">G7/1.05</f>
        <v>13.285714285714285</v>
      </c>
      <c r="I7" s="4" t="s">
        <v>23</v>
      </c>
      <c r="J7" s="6">
        <v>14.625</v>
      </c>
      <c r="K7" s="6">
        <v>13.95</v>
      </c>
      <c r="L7" s="6">
        <f t="shared" ref="L7:L44" si="5">K7/1.05</f>
        <v>13.285714285714285</v>
      </c>
      <c r="M7" s="6">
        <v>15.66</v>
      </c>
      <c r="N7" s="6">
        <v>13.95</v>
      </c>
      <c r="O7" s="7" t="s">
        <v>23</v>
      </c>
      <c r="P7" s="6">
        <f t="shared" si="0"/>
        <v>14.625</v>
      </c>
      <c r="Q7" s="6">
        <f t="shared" si="3"/>
        <v>13.95</v>
      </c>
      <c r="R7" s="6" t="s">
        <v>23</v>
      </c>
      <c r="S7" s="6"/>
      <c r="V7" s="45">
        <v>18</v>
      </c>
      <c r="W7" s="45">
        <v>16.41</v>
      </c>
      <c r="X7" s="45">
        <v>15.72</v>
      </c>
      <c r="Y7" s="46">
        <v>20</v>
      </c>
      <c r="Z7" s="46">
        <v>18.2</v>
      </c>
      <c r="AA7" s="46">
        <v>17.47</v>
      </c>
      <c r="AB7" s="47">
        <v>18</v>
      </c>
      <c r="AC7" s="47">
        <v>16.5</v>
      </c>
      <c r="AD7" s="47">
        <v>16.010000000000002</v>
      </c>
      <c r="AE7" s="47"/>
      <c r="AF7" s="48"/>
      <c r="AG7" s="48"/>
      <c r="AH7" s="48"/>
      <c r="AI7" s="47">
        <v>18</v>
      </c>
      <c r="AJ7" s="47">
        <v>14.9</v>
      </c>
      <c r="AK7" s="47">
        <v>13.8</v>
      </c>
      <c r="AL7" s="47"/>
      <c r="AM7" s="47"/>
      <c r="AN7" s="47"/>
      <c r="AP7" s="104">
        <v>1012</v>
      </c>
      <c r="AQ7" s="33">
        <f>VLOOKUP(AP7,'[1]Product Master'!$F$1:$L$57,7,0)</f>
        <v>18</v>
      </c>
      <c r="AR7" s="33" t="str">
        <f t="shared" si="1"/>
        <v>true</v>
      </c>
    </row>
    <row r="8" spans="1:44" ht="15.95" customHeight="1" x14ac:dyDescent="0.25">
      <c r="A8" s="4">
        <f t="shared" si="2"/>
        <v>5</v>
      </c>
      <c r="B8" s="5" t="s">
        <v>33</v>
      </c>
      <c r="C8" s="75">
        <v>0.05</v>
      </c>
      <c r="D8" s="4">
        <v>30</v>
      </c>
      <c r="E8" s="6">
        <v>35</v>
      </c>
      <c r="F8" s="6">
        <v>28.072916666666664</v>
      </c>
      <c r="G8" s="6">
        <v>26.95</v>
      </c>
      <c r="H8" s="6">
        <f t="shared" si="4"/>
        <v>25.666666666666664</v>
      </c>
      <c r="I8" s="4" t="s">
        <v>23</v>
      </c>
      <c r="J8" s="6">
        <v>28.072916666666664</v>
      </c>
      <c r="K8" s="6">
        <v>26.95</v>
      </c>
      <c r="L8" s="6">
        <f t="shared" si="5"/>
        <v>25.666666666666664</v>
      </c>
      <c r="M8" s="6">
        <v>27.95</v>
      </c>
      <c r="N8" s="6">
        <v>27.95</v>
      </c>
      <c r="O8" s="6">
        <v>27.95</v>
      </c>
      <c r="P8" s="6">
        <f t="shared" si="0"/>
        <v>28.072916666666664</v>
      </c>
      <c r="Q8" s="6">
        <f t="shared" si="3"/>
        <v>27.95</v>
      </c>
      <c r="R8" s="6" t="s">
        <v>23</v>
      </c>
      <c r="S8" s="6"/>
      <c r="V8" s="45">
        <v>34</v>
      </c>
      <c r="W8" s="45">
        <v>29.75</v>
      </c>
      <c r="X8" s="45">
        <v>28.48</v>
      </c>
      <c r="Y8" s="46">
        <v>35</v>
      </c>
      <c r="Z8" s="46">
        <v>31.89</v>
      </c>
      <c r="AA8" s="46">
        <v>30.66</v>
      </c>
      <c r="AB8" s="47">
        <v>35</v>
      </c>
      <c r="AC8" s="47">
        <v>32.5</v>
      </c>
      <c r="AD8" s="47">
        <v>30.6</v>
      </c>
      <c r="AE8" s="47"/>
      <c r="AF8" s="48"/>
      <c r="AG8" s="48"/>
      <c r="AH8" s="48"/>
      <c r="AI8" s="47"/>
      <c r="AJ8" s="47"/>
      <c r="AK8" s="47"/>
      <c r="AL8" s="47"/>
      <c r="AM8" s="47"/>
      <c r="AN8" s="47"/>
      <c r="AP8" s="104">
        <v>1013</v>
      </c>
      <c r="AQ8" s="33">
        <f>VLOOKUP(AP8,'[1]Product Master'!$F$1:$L$57,7,0)</f>
        <v>35</v>
      </c>
      <c r="AR8" s="33" t="str">
        <f t="shared" si="1"/>
        <v>true</v>
      </c>
    </row>
    <row r="9" spans="1:44" ht="15.95" customHeight="1" x14ac:dyDescent="0.25">
      <c r="A9" s="4">
        <f t="shared" si="2"/>
        <v>6</v>
      </c>
      <c r="B9" s="108" t="s">
        <v>35</v>
      </c>
      <c r="C9" s="75">
        <v>0.05</v>
      </c>
      <c r="D9" s="4">
        <v>12</v>
      </c>
      <c r="E9" s="6">
        <v>75</v>
      </c>
      <c r="F9" s="6">
        <v>66.93320610687023</v>
      </c>
      <c r="G9" s="6">
        <v>64.95</v>
      </c>
      <c r="H9" s="6">
        <f t="shared" si="4"/>
        <v>61.857142857142854</v>
      </c>
      <c r="I9" s="4" t="s">
        <v>23</v>
      </c>
      <c r="J9" s="6">
        <v>66.93320610687023</v>
      </c>
      <c r="K9" s="6">
        <v>64.95</v>
      </c>
      <c r="L9" s="6">
        <f t="shared" si="5"/>
        <v>61.857142857142854</v>
      </c>
      <c r="M9" s="6">
        <v>65.25</v>
      </c>
      <c r="N9" s="6">
        <v>64.95</v>
      </c>
      <c r="O9" s="6">
        <v>66</v>
      </c>
      <c r="P9" s="6">
        <f t="shared" si="0"/>
        <v>66.93320610687023</v>
      </c>
      <c r="Q9" s="6">
        <f t="shared" si="3"/>
        <v>64.95</v>
      </c>
      <c r="R9" s="6" t="s">
        <v>23</v>
      </c>
      <c r="S9" s="6"/>
      <c r="V9" s="45">
        <v>75</v>
      </c>
      <c r="W9" s="45">
        <v>66.790000000000006</v>
      </c>
      <c r="X9" s="45">
        <v>65.25</v>
      </c>
      <c r="Y9" s="46">
        <v>75</v>
      </c>
      <c r="Z9" s="46">
        <v>70.5</v>
      </c>
      <c r="AA9" s="46">
        <v>69</v>
      </c>
      <c r="AB9" s="47">
        <v>75</v>
      </c>
      <c r="AC9" s="47">
        <v>71</v>
      </c>
      <c r="AD9" s="47">
        <v>68.05</v>
      </c>
      <c r="AE9" s="47"/>
      <c r="AF9" s="48">
        <v>75</v>
      </c>
      <c r="AG9" s="48"/>
      <c r="AH9" s="48">
        <f>64.14*1.05</f>
        <v>67.347000000000008</v>
      </c>
      <c r="AI9" s="47">
        <v>75</v>
      </c>
      <c r="AJ9" s="47">
        <v>68</v>
      </c>
      <c r="AK9" s="47">
        <v>64.5</v>
      </c>
      <c r="AL9" s="47"/>
      <c r="AM9" s="47"/>
      <c r="AN9" s="47"/>
      <c r="AP9" s="104">
        <v>1014</v>
      </c>
      <c r="AQ9" s="33">
        <f>VLOOKUP(AP9,'[1]Product Master'!$F$1:$L$57,7,0)</f>
        <v>75</v>
      </c>
      <c r="AR9" s="33" t="str">
        <f t="shared" si="1"/>
        <v>true</v>
      </c>
    </row>
    <row r="10" spans="1:44" ht="15.95" customHeight="1" x14ac:dyDescent="0.25">
      <c r="A10" s="4">
        <f t="shared" si="2"/>
        <v>7</v>
      </c>
      <c r="B10" s="108" t="s">
        <v>36</v>
      </c>
      <c r="C10" s="75">
        <v>0.05</v>
      </c>
      <c r="D10" s="4">
        <v>2</v>
      </c>
      <c r="E10" s="6">
        <v>360</v>
      </c>
      <c r="F10" s="6">
        <v>330</v>
      </c>
      <c r="G10" s="6">
        <v>315</v>
      </c>
      <c r="H10" s="6">
        <f t="shared" si="4"/>
        <v>300</v>
      </c>
      <c r="I10" s="109" t="s">
        <v>37</v>
      </c>
      <c r="J10" s="6">
        <v>315</v>
      </c>
      <c r="K10" s="6">
        <v>300</v>
      </c>
      <c r="L10" s="6">
        <f t="shared" si="5"/>
        <v>285.71428571428572</v>
      </c>
      <c r="M10" s="6">
        <v>315</v>
      </c>
      <c r="N10" s="6">
        <v>315</v>
      </c>
      <c r="O10" s="7" t="s">
        <v>23</v>
      </c>
      <c r="P10" s="6">
        <f t="shared" si="0"/>
        <v>330</v>
      </c>
      <c r="Q10" s="6">
        <f t="shared" si="3"/>
        <v>315</v>
      </c>
      <c r="R10" s="6" t="s">
        <v>23</v>
      </c>
      <c r="S10" s="6"/>
      <c r="V10" s="45">
        <v>355</v>
      </c>
      <c r="W10" s="45">
        <v>326.60000000000002</v>
      </c>
      <c r="X10" s="45">
        <v>320.92</v>
      </c>
      <c r="Y10" s="46"/>
      <c r="Z10" s="46"/>
      <c r="AA10" s="46"/>
      <c r="AB10" s="47">
        <v>350</v>
      </c>
      <c r="AC10" s="47">
        <v>330</v>
      </c>
      <c r="AD10" s="47">
        <v>322.5</v>
      </c>
      <c r="AE10" s="47"/>
      <c r="AF10" s="48"/>
      <c r="AG10" s="48"/>
      <c r="AH10" s="48"/>
      <c r="AI10" s="47">
        <v>360</v>
      </c>
      <c r="AJ10" s="47">
        <v>330</v>
      </c>
      <c r="AK10" s="47">
        <v>300</v>
      </c>
      <c r="AL10" s="47"/>
      <c r="AM10" s="47"/>
      <c r="AN10" s="47"/>
      <c r="AP10" s="104">
        <v>1015</v>
      </c>
      <c r="AQ10" s="33">
        <f>VLOOKUP(AP10,'[1]Product Master'!$F$1:$L$57,7,0)</f>
        <v>360</v>
      </c>
      <c r="AR10" s="33" t="str">
        <f t="shared" si="1"/>
        <v>true</v>
      </c>
    </row>
    <row r="11" spans="1:44" ht="15.95" customHeight="1" x14ac:dyDescent="0.25">
      <c r="A11" s="4">
        <f t="shared" si="2"/>
        <v>8</v>
      </c>
      <c r="B11" s="5" t="s">
        <v>38</v>
      </c>
      <c r="C11" s="75">
        <v>0.05</v>
      </c>
      <c r="D11" s="4">
        <v>1</v>
      </c>
      <c r="E11" s="6">
        <v>400</v>
      </c>
      <c r="F11" s="6">
        <v>360</v>
      </c>
      <c r="G11" s="6">
        <v>345</v>
      </c>
      <c r="H11" s="6">
        <f t="shared" si="4"/>
        <v>328.57142857142856</v>
      </c>
      <c r="I11" s="4" t="s">
        <v>40</v>
      </c>
      <c r="J11" s="6">
        <v>345</v>
      </c>
      <c r="K11" s="6">
        <v>330</v>
      </c>
      <c r="L11" s="6">
        <f t="shared" si="5"/>
        <v>314.28571428571428</v>
      </c>
      <c r="M11" s="6" t="s">
        <v>23</v>
      </c>
      <c r="N11" s="6">
        <v>345</v>
      </c>
      <c r="O11" s="7" t="s">
        <v>23</v>
      </c>
      <c r="P11" s="6">
        <f t="shared" si="0"/>
        <v>360</v>
      </c>
      <c r="Q11" s="6">
        <f t="shared" si="3"/>
        <v>345</v>
      </c>
      <c r="R11" s="6" t="s">
        <v>23</v>
      </c>
      <c r="S11" s="6"/>
      <c r="V11" s="45">
        <v>400</v>
      </c>
      <c r="W11" s="45">
        <v>350</v>
      </c>
      <c r="X11" s="45">
        <v>345</v>
      </c>
      <c r="Y11" s="46"/>
      <c r="Z11" s="46"/>
      <c r="AA11" s="46"/>
      <c r="AB11" s="47">
        <v>400</v>
      </c>
      <c r="AC11" s="47">
        <v>375</v>
      </c>
      <c r="AD11" s="47">
        <v>358</v>
      </c>
      <c r="AE11" s="47"/>
      <c r="AF11" s="48">
        <v>385</v>
      </c>
      <c r="AG11" s="48"/>
      <c r="AH11" s="48">
        <f>340.45*1.05</f>
        <v>357.47250000000003</v>
      </c>
      <c r="AI11" s="47">
        <v>400</v>
      </c>
      <c r="AJ11" s="47">
        <v>370</v>
      </c>
      <c r="AK11" s="47">
        <v>340</v>
      </c>
      <c r="AL11" s="47"/>
      <c r="AM11" s="47"/>
      <c r="AN11" s="47"/>
      <c r="AP11" s="104">
        <v>1047</v>
      </c>
      <c r="AQ11" s="33">
        <f>VLOOKUP(AP11,'[1]Product Master'!$F$1:$L$57,7,0)</f>
        <v>400</v>
      </c>
      <c r="AR11" s="33" t="str">
        <f t="shared" si="1"/>
        <v>true</v>
      </c>
    </row>
    <row r="12" spans="1:44" ht="15.95" customHeight="1" x14ac:dyDescent="0.25">
      <c r="A12" s="4">
        <f t="shared" si="2"/>
        <v>9</v>
      </c>
      <c r="B12" s="5" t="s">
        <v>41</v>
      </c>
      <c r="C12" s="75">
        <v>0.05</v>
      </c>
      <c r="D12" s="4">
        <v>1</v>
      </c>
      <c r="E12" s="6">
        <v>1145</v>
      </c>
      <c r="F12" s="6">
        <v>1040</v>
      </c>
      <c r="G12" s="6">
        <v>1000</v>
      </c>
      <c r="H12" s="6">
        <f t="shared" si="4"/>
        <v>952.38095238095229</v>
      </c>
      <c r="I12" s="4" t="s">
        <v>23</v>
      </c>
      <c r="J12" s="6">
        <v>1040</v>
      </c>
      <c r="K12" s="6">
        <v>1000</v>
      </c>
      <c r="L12" s="6">
        <f t="shared" si="5"/>
        <v>952.38095238095229</v>
      </c>
      <c r="M12" s="6" t="s">
        <v>23</v>
      </c>
      <c r="N12" s="6">
        <v>1000</v>
      </c>
      <c r="O12" s="7" t="s">
        <v>23</v>
      </c>
      <c r="P12" s="6">
        <f t="shared" si="0"/>
        <v>1040</v>
      </c>
      <c r="Q12" s="6">
        <f t="shared" si="3"/>
        <v>1000</v>
      </c>
      <c r="R12" s="6" t="s">
        <v>23</v>
      </c>
      <c r="S12" s="6"/>
      <c r="V12" s="45">
        <v>1250</v>
      </c>
      <c r="W12" s="45">
        <v>1190</v>
      </c>
      <c r="X12" s="45">
        <v>1160</v>
      </c>
      <c r="Y12" s="46"/>
      <c r="Z12" s="46"/>
      <c r="AA12" s="46"/>
      <c r="AB12" s="47"/>
      <c r="AC12" s="47"/>
      <c r="AD12" s="47"/>
      <c r="AE12" s="47"/>
      <c r="AF12" s="48"/>
      <c r="AG12" s="48"/>
      <c r="AH12" s="48"/>
      <c r="AI12" s="47">
        <v>1145</v>
      </c>
      <c r="AJ12" s="47">
        <v>1050</v>
      </c>
      <c r="AK12" s="47">
        <v>950</v>
      </c>
      <c r="AL12" s="47"/>
      <c r="AM12" s="47"/>
      <c r="AN12" s="47"/>
      <c r="AP12" s="104">
        <v>1016</v>
      </c>
      <c r="AQ12" s="33">
        <f>VLOOKUP(AP12,'[1]Product Master'!$F$1:$L$57,7,0)</f>
        <v>1145</v>
      </c>
      <c r="AR12" s="33" t="str">
        <f t="shared" si="1"/>
        <v>true</v>
      </c>
    </row>
    <row r="13" spans="1:44" ht="15.95" customHeight="1" x14ac:dyDescent="0.25">
      <c r="A13" s="4">
        <f t="shared" si="2"/>
        <v>10</v>
      </c>
      <c r="B13" s="5" t="s">
        <v>42</v>
      </c>
      <c r="C13" s="75">
        <v>0.05</v>
      </c>
      <c r="D13" s="4">
        <v>60</v>
      </c>
      <c r="E13" s="6">
        <v>15</v>
      </c>
      <c r="F13" s="6">
        <v>12.505813953488371</v>
      </c>
      <c r="G13" s="6">
        <v>11.95</v>
      </c>
      <c r="H13" s="6">
        <f t="shared" si="4"/>
        <v>11.38095238095238</v>
      </c>
      <c r="I13" s="4" t="s">
        <v>23</v>
      </c>
      <c r="J13" s="6">
        <v>12.505813953488371</v>
      </c>
      <c r="K13" s="6">
        <v>11.95</v>
      </c>
      <c r="L13" s="6">
        <f t="shared" si="5"/>
        <v>11.38095238095238</v>
      </c>
      <c r="M13" s="6">
        <v>12.75</v>
      </c>
      <c r="N13" s="6">
        <v>12.75</v>
      </c>
      <c r="O13" s="6">
        <v>12.75</v>
      </c>
      <c r="P13" s="6">
        <f t="shared" si="0"/>
        <v>12.505813953488371</v>
      </c>
      <c r="Q13" s="6">
        <f t="shared" si="3"/>
        <v>12.75</v>
      </c>
      <c r="R13" s="6" t="s">
        <v>23</v>
      </c>
      <c r="S13" s="6"/>
      <c r="V13" s="45">
        <v>15</v>
      </c>
      <c r="W13" s="45">
        <v>12.85</v>
      </c>
      <c r="X13" s="45">
        <v>12.31</v>
      </c>
      <c r="Y13" s="46"/>
      <c r="Z13" s="46"/>
      <c r="AA13" s="46"/>
      <c r="AB13" s="47">
        <v>15</v>
      </c>
      <c r="AC13" s="47">
        <v>13</v>
      </c>
      <c r="AD13" s="47">
        <v>12.51</v>
      </c>
      <c r="AE13" s="47"/>
      <c r="AF13" s="48"/>
      <c r="AG13" s="48"/>
      <c r="AH13" s="48"/>
      <c r="AI13" s="47">
        <v>15</v>
      </c>
      <c r="AJ13" s="47">
        <v>12.8</v>
      </c>
      <c r="AK13" s="47">
        <v>11.8</v>
      </c>
      <c r="AL13" s="47"/>
      <c r="AM13" s="47"/>
      <c r="AN13" s="47"/>
      <c r="AP13" s="104">
        <v>1020</v>
      </c>
      <c r="AQ13" s="33">
        <f>VLOOKUP(AP13,'[1]Product Master'!$F$1:$L$57,7,0)</f>
        <v>15</v>
      </c>
      <c r="AR13" s="33" t="str">
        <f t="shared" si="1"/>
        <v>true</v>
      </c>
    </row>
    <row r="14" spans="1:44" ht="15.95" customHeight="1" x14ac:dyDescent="0.25">
      <c r="A14" s="4">
        <f t="shared" si="2"/>
        <v>11</v>
      </c>
      <c r="B14" s="5" t="s">
        <v>43</v>
      </c>
      <c r="C14" s="75">
        <v>0.05</v>
      </c>
      <c r="D14" s="4">
        <v>12</v>
      </c>
      <c r="E14" s="6">
        <v>60</v>
      </c>
      <c r="F14" s="6">
        <v>56.828846153846158</v>
      </c>
      <c r="G14" s="6">
        <v>50.95</v>
      </c>
      <c r="H14" s="6">
        <f t="shared" si="4"/>
        <v>48.523809523809526</v>
      </c>
      <c r="I14" s="4" t="s">
        <v>23</v>
      </c>
      <c r="J14" s="6">
        <v>56.828846153846158</v>
      </c>
      <c r="K14" s="6">
        <v>50.95</v>
      </c>
      <c r="L14" s="6">
        <f t="shared" si="5"/>
        <v>48.523809523809526</v>
      </c>
      <c r="M14" s="6">
        <v>50.95</v>
      </c>
      <c r="N14" s="6">
        <v>50.95</v>
      </c>
      <c r="O14" s="6">
        <v>50.95</v>
      </c>
      <c r="P14" s="6">
        <f t="shared" si="0"/>
        <v>56.828846153846158</v>
      </c>
      <c r="Q14" s="6">
        <f t="shared" si="3"/>
        <v>50.95</v>
      </c>
      <c r="R14" s="6" t="s">
        <v>23</v>
      </c>
      <c r="S14" s="6"/>
      <c r="V14" s="45">
        <v>60</v>
      </c>
      <c r="W14" s="45">
        <v>53</v>
      </c>
      <c r="X14" s="45">
        <v>51.5</v>
      </c>
      <c r="Y14" s="46"/>
      <c r="Z14" s="46"/>
      <c r="AA14" s="46"/>
      <c r="AB14" s="47">
        <v>55</v>
      </c>
      <c r="AC14" s="47">
        <v>51</v>
      </c>
      <c r="AD14" s="47">
        <v>49</v>
      </c>
      <c r="AE14" s="47"/>
      <c r="AF14" s="48"/>
      <c r="AG14" s="48"/>
      <c r="AH14" s="48"/>
      <c r="AI14" s="47">
        <v>60</v>
      </c>
      <c r="AJ14" s="47">
        <v>57.3</v>
      </c>
      <c r="AK14" s="47">
        <v>50.6</v>
      </c>
      <c r="AL14" s="47"/>
      <c r="AM14" s="47"/>
      <c r="AN14" s="47"/>
      <c r="AP14" s="104">
        <v>1019</v>
      </c>
      <c r="AQ14" s="33">
        <f>VLOOKUP(AP14,'[1]Product Master'!$F$1:$L$57,7,0)</f>
        <v>60</v>
      </c>
      <c r="AR14" s="33" t="str">
        <f t="shared" si="1"/>
        <v>true</v>
      </c>
    </row>
    <row r="15" spans="1:44" ht="15.95" customHeight="1" x14ac:dyDescent="0.25">
      <c r="A15" s="4">
        <f t="shared" si="2"/>
        <v>12</v>
      </c>
      <c r="B15" s="108" t="s">
        <v>44</v>
      </c>
      <c r="C15" s="75">
        <v>0.05</v>
      </c>
      <c r="D15" s="4">
        <v>2</v>
      </c>
      <c r="E15" s="6">
        <v>305</v>
      </c>
      <c r="F15" s="6">
        <v>244.58181818181819</v>
      </c>
      <c r="G15" s="6">
        <v>236</v>
      </c>
      <c r="H15" s="6">
        <f t="shared" si="4"/>
        <v>224.76190476190476</v>
      </c>
      <c r="I15" s="4" t="s">
        <v>23</v>
      </c>
      <c r="J15" s="6">
        <v>244.58181818181819</v>
      </c>
      <c r="K15" s="6">
        <v>236</v>
      </c>
      <c r="L15" s="6">
        <f t="shared" si="5"/>
        <v>224.76190476190476</v>
      </c>
      <c r="M15" s="6">
        <v>236</v>
      </c>
      <c r="N15" s="6">
        <v>236</v>
      </c>
      <c r="O15" s="7" t="s">
        <v>23</v>
      </c>
      <c r="P15" s="6">
        <f t="shared" si="0"/>
        <v>244.58181818181819</v>
      </c>
      <c r="Q15" s="6">
        <f t="shared" si="3"/>
        <v>236</v>
      </c>
      <c r="R15" s="6" t="s">
        <v>23</v>
      </c>
      <c r="S15" s="6"/>
      <c r="V15" s="45">
        <v>305</v>
      </c>
      <c r="W15" s="45">
        <v>283</v>
      </c>
      <c r="X15" s="45">
        <v>255</v>
      </c>
      <c r="Y15" s="46"/>
      <c r="Z15" s="46"/>
      <c r="AA15" s="46"/>
      <c r="AB15" s="47">
        <v>260</v>
      </c>
      <c r="AC15" s="47">
        <v>245</v>
      </c>
      <c r="AD15" s="47">
        <v>237.45</v>
      </c>
      <c r="AE15" s="47"/>
      <c r="AF15" s="48"/>
      <c r="AG15" s="48"/>
      <c r="AH15" s="48"/>
      <c r="AI15" s="47">
        <v>305</v>
      </c>
      <c r="AJ15" s="47">
        <v>260</v>
      </c>
      <c r="AK15" s="47">
        <v>240</v>
      </c>
      <c r="AL15" s="47"/>
      <c r="AM15" s="47"/>
      <c r="AN15" s="47"/>
      <c r="AP15" s="104">
        <v>1021</v>
      </c>
      <c r="AQ15" s="33">
        <f>VLOOKUP(AP15,'[1]Product Master'!$F$1:$L$57,7,0)</f>
        <v>305</v>
      </c>
      <c r="AR15" s="33" t="str">
        <f t="shared" si="1"/>
        <v>true</v>
      </c>
    </row>
    <row r="16" spans="1:44" ht="15.95" customHeight="1" x14ac:dyDescent="0.25">
      <c r="A16" s="4">
        <f t="shared" si="2"/>
        <v>13</v>
      </c>
      <c r="B16" s="108" t="s">
        <v>46</v>
      </c>
      <c r="C16" s="75">
        <v>0.05</v>
      </c>
      <c r="D16" s="4">
        <v>1</v>
      </c>
      <c r="E16" s="6">
        <v>985</v>
      </c>
      <c r="F16" s="6">
        <v>842.96511627906978</v>
      </c>
      <c r="G16" s="6">
        <v>810</v>
      </c>
      <c r="H16" s="6">
        <f t="shared" si="4"/>
        <v>771.42857142857144</v>
      </c>
      <c r="I16" s="4" t="s">
        <v>23</v>
      </c>
      <c r="J16" s="6">
        <v>842.96511627906978</v>
      </c>
      <c r="K16" s="6">
        <v>810</v>
      </c>
      <c r="L16" s="6">
        <f t="shared" si="5"/>
        <v>771.42857142857144</v>
      </c>
      <c r="M16" s="6">
        <v>810</v>
      </c>
      <c r="N16" s="6">
        <v>810</v>
      </c>
      <c r="O16" s="7" t="s">
        <v>23</v>
      </c>
      <c r="P16" s="6">
        <f t="shared" si="0"/>
        <v>842.96511627906978</v>
      </c>
      <c r="Q16" s="6">
        <f t="shared" si="3"/>
        <v>810</v>
      </c>
      <c r="R16" s="6" t="s">
        <v>23</v>
      </c>
      <c r="S16" s="6"/>
      <c r="V16" s="45">
        <v>275</v>
      </c>
      <c r="W16" s="45">
        <v>261</v>
      </c>
      <c r="X16" s="45"/>
      <c r="Y16" s="46"/>
      <c r="Z16" s="46"/>
      <c r="AA16" s="46"/>
      <c r="AB16" s="47"/>
      <c r="AC16" s="47"/>
      <c r="AD16" s="47"/>
      <c r="AE16" s="47"/>
      <c r="AF16" s="48"/>
      <c r="AG16" s="48"/>
      <c r="AH16" s="48"/>
      <c r="AI16" s="47">
        <v>985</v>
      </c>
      <c r="AJ16" s="47">
        <v>842.97</v>
      </c>
      <c r="AK16" s="47">
        <v>820</v>
      </c>
      <c r="AL16" s="47"/>
      <c r="AM16" s="47"/>
      <c r="AN16" s="47"/>
      <c r="AP16" s="104">
        <v>1022</v>
      </c>
      <c r="AQ16" s="33">
        <f>VLOOKUP(AP16,'[1]Product Master'!$F$1:$L$57,7,0)</f>
        <v>985</v>
      </c>
      <c r="AR16" s="33" t="str">
        <f t="shared" si="1"/>
        <v>true</v>
      </c>
    </row>
    <row r="17" spans="1:44" ht="15.95" customHeight="1" x14ac:dyDescent="0.25">
      <c r="A17" s="4">
        <f t="shared" si="2"/>
        <v>14</v>
      </c>
      <c r="B17" s="5" t="s">
        <v>47</v>
      </c>
      <c r="C17" s="75">
        <v>0.05</v>
      </c>
      <c r="D17" s="4">
        <v>12</v>
      </c>
      <c r="E17" s="6">
        <v>20</v>
      </c>
      <c r="F17" s="6">
        <v>16.667749999999998</v>
      </c>
      <c r="G17" s="6">
        <v>15.95</v>
      </c>
      <c r="H17" s="6">
        <f t="shared" si="4"/>
        <v>15.19047619047619</v>
      </c>
      <c r="I17" s="4" t="s">
        <v>23</v>
      </c>
      <c r="J17" s="6">
        <v>16.667749999999998</v>
      </c>
      <c r="K17" s="6">
        <v>15.95</v>
      </c>
      <c r="L17" s="6">
        <f t="shared" si="5"/>
        <v>15.19047619047619</v>
      </c>
      <c r="M17" s="6">
        <v>17</v>
      </c>
      <c r="N17" s="6">
        <v>17</v>
      </c>
      <c r="O17" s="6">
        <v>17</v>
      </c>
      <c r="P17" s="6">
        <f t="shared" si="0"/>
        <v>16.667749999999998</v>
      </c>
      <c r="Q17" s="6">
        <f t="shared" si="3"/>
        <v>17</v>
      </c>
      <c r="R17" s="6" t="s">
        <v>23</v>
      </c>
      <c r="S17" s="6"/>
      <c r="V17" s="45">
        <v>1100</v>
      </c>
      <c r="W17" s="45">
        <v>1040</v>
      </c>
      <c r="X17" s="45">
        <v>1020</v>
      </c>
      <c r="Y17" s="46"/>
      <c r="Z17" s="46"/>
      <c r="AA17" s="46"/>
      <c r="AB17" s="47"/>
      <c r="AC17" s="47"/>
      <c r="AD17" s="47"/>
      <c r="AE17" s="47"/>
      <c r="AF17" s="48"/>
      <c r="AG17" s="48"/>
      <c r="AH17" s="48"/>
      <c r="AI17" s="47"/>
      <c r="AJ17" s="47"/>
      <c r="AK17" s="47"/>
      <c r="AL17" s="47"/>
      <c r="AM17" s="47"/>
      <c r="AN17" s="47"/>
      <c r="AP17" s="104">
        <v>1017</v>
      </c>
      <c r="AQ17" s="33">
        <f>VLOOKUP(AP17,'[1]Product Master'!$F$1:$L$57,7,0)</f>
        <v>20</v>
      </c>
      <c r="AR17" s="33" t="str">
        <f t="shared" si="1"/>
        <v>true</v>
      </c>
    </row>
    <row r="18" spans="1:44" ht="15.95" customHeight="1" x14ac:dyDescent="0.25">
      <c r="A18" s="4">
        <f t="shared" si="2"/>
        <v>15</v>
      </c>
      <c r="B18" s="5" t="s">
        <v>96</v>
      </c>
      <c r="C18" s="75">
        <v>0.05</v>
      </c>
      <c r="D18" s="4">
        <v>12</v>
      </c>
      <c r="E18" s="6">
        <v>20</v>
      </c>
      <c r="F18" s="6">
        <v>16.667749999999998</v>
      </c>
      <c r="G18" s="6">
        <v>15.95</v>
      </c>
      <c r="H18" s="6">
        <f t="shared" si="4"/>
        <v>15.19047619047619</v>
      </c>
      <c r="I18" s="4" t="s">
        <v>23</v>
      </c>
      <c r="J18" s="6">
        <v>16.667749999999998</v>
      </c>
      <c r="K18" s="6">
        <v>15.95</v>
      </c>
      <c r="L18" s="6">
        <f t="shared" si="5"/>
        <v>15.19047619047619</v>
      </c>
      <c r="M18" s="6">
        <v>17</v>
      </c>
      <c r="N18" s="6">
        <v>17</v>
      </c>
      <c r="O18" s="6">
        <v>17</v>
      </c>
      <c r="P18" s="6">
        <f t="shared" si="0"/>
        <v>16.667749999999998</v>
      </c>
      <c r="Q18" s="6">
        <f t="shared" si="3"/>
        <v>17</v>
      </c>
      <c r="R18" s="6"/>
      <c r="S18" s="6"/>
      <c r="V18" s="68"/>
      <c r="W18" s="68"/>
      <c r="X18" s="68"/>
      <c r="Y18" s="46"/>
      <c r="Z18" s="46"/>
      <c r="AA18" s="46"/>
      <c r="AB18" s="47"/>
      <c r="AC18" s="47"/>
      <c r="AD18" s="47"/>
      <c r="AE18" s="47"/>
      <c r="AF18" s="48"/>
      <c r="AG18" s="48"/>
      <c r="AH18" s="48"/>
      <c r="AI18" s="47"/>
      <c r="AJ18" s="47"/>
      <c r="AK18" s="47"/>
      <c r="AL18" s="47"/>
      <c r="AM18" s="47"/>
      <c r="AN18" s="47"/>
      <c r="AP18" s="104">
        <v>1018</v>
      </c>
      <c r="AQ18" s="33">
        <f>VLOOKUP(AP18,'[1]Product Master'!$F$1:$L$57,7,0)</f>
        <v>20</v>
      </c>
      <c r="AR18" s="33" t="str">
        <f t="shared" si="1"/>
        <v>true</v>
      </c>
    </row>
    <row r="19" spans="1:44" ht="15.95" customHeight="1" x14ac:dyDescent="0.25">
      <c r="A19" s="4">
        <f t="shared" si="2"/>
        <v>16</v>
      </c>
      <c r="B19" s="5" t="s">
        <v>48</v>
      </c>
      <c r="C19" s="75">
        <v>0.05</v>
      </c>
      <c r="D19" s="4">
        <v>60</v>
      </c>
      <c r="E19" s="6">
        <v>15</v>
      </c>
      <c r="F19" s="6">
        <v>12.652941176470588</v>
      </c>
      <c r="G19" s="6">
        <v>11.95</v>
      </c>
      <c r="H19" s="6">
        <f t="shared" si="4"/>
        <v>11.38095238095238</v>
      </c>
      <c r="I19" s="4" t="s">
        <v>23</v>
      </c>
      <c r="J19" s="6">
        <v>12.652941176470588</v>
      </c>
      <c r="K19" s="6">
        <v>11.95</v>
      </c>
      <c r="L19" s="6">
        <f t="shared" si="5"/>
        <v>11.38095238095238</v>
      </c>
      <c r="M19" s="6">
        <v>11.95</v>
      </c>
      <c r="N19" s="6">
        <v>11.95</v>
      </c>
      <c r="O19" s="6">
        <v>11.95</v>
      </c>
      <c r="P19" s="6">
        <f t="shared" si="0"/>
        <v>12.652941176470588</v>
      </c>
      <c r="Q19" s="6">
        <f t="shared" si="3"/>
        <v>11.95</v>
      </c>
      <c r="R19" s="6" t="s">
        <v>23</v>
      </c>
      <c r="S19" s="6"/>
      <c r="V19" s="68"/>
      <c r="W19" s="68"/>
      <c r="X19" s="68"/>
      <c r="Y19" s="46"/>
      <c r="Z19" s="46"/>
      <c r="AA19" s="46"/>
      <c r="AB19" s="47">
        <v>15</v>
      </c>
      <c r="AC19" s="47">
        <v>12.7</v>
      </c>
      <c r="AD19" s="47">
        <v>12.05</v>
      </c>
      <c r="AE19" s="47"/>
      <c r="AF19" s="48"/>
      <c r="AG19" s="48"/>
      <c r="AH19" s="48"/>
      <c r="AI19" s="47"/>
      <c r="AJ19" s="47"/>
      <c r="AK19" s="47"/>
      <c r="AL19" s="47"/>
      <c r="AM19" s="47"/>
      <c r="AN19" s="47"/>
      <c r="AP19" s="104">
        <v>1026</v>
      </c>
      <c r="AQ19" s="33">
        <f>VLOOKUP(AP19,'[1]Product Master'!$F$1:$L$57,7,0)</f>
        <v>15</v>
      </c>
      <c r="AR19" s="33" t="str">
        <f t="shared" si="1"/>
        <v>true</v>
      </c>
    </row>
    <row r="20" spans="1:44" ht="15.95" customHeight="1" x14ac:dyDescent="0.25">
      <c r="A20" s="4">
        <f t="shared" si="2"/>
        <v>17</v>
      </c>
      <c r="B20" s="5" t="s">
        <v>49</v>
      </c>
      <c r="C20" s="75">
        <v>0.05</v>
      </c>
      <c r="D20" s="4">
        <v>10</v>
      </c>
      <c r="E20" s="6">
        <v>25</v>
      </c>
      <c r="F20" s="6">
        <v>22.5</v>
      </c>
      <c r="G20" s="6">
        <v>21.5</v>
      </c>
      <c r="H20" s="6">
        <f t="shared" si="4"/>
        <v>20.476190476190474</v>
      </c>
      <c r="I20" s="109" t="s">
        <v>51</v>
      </c>
      <c r="J20" s="6">
        <v>21.09375</v>
      </c>
      <c r="K20" s="6">
        <v>20.15625</v>
      </c>
      <c r="L20" s="6">
        <f t="shared" si="5"/>
        <v>19.196428571428569</v>
      </c>
      <c r="M20" s="6">
        <v>21</v>
      </c>
      <c r="N20" s="6">
        <v>21</v>
      </c>
      <c r="O20" s="6">
        <v>20</v>
      </c>
      <c r="P20" s="6">
        <f t="shared" si="0"/>
        <v>22.5</v>
      </c>
      <c r="Q20" s="6">
        <f t="shared" si="3"/>
        <v>21</v>
      </c>
      <c r="R20" s="6" t="s">
        <v>23</v>
      </c>
      <c r="S20" s="6"/>
      <c r="V20" s="45">
        <v>20</v>
      </c>
      <c r="W20" s="45">
        <v>18</v>
      </c>
      <c r="X20" s="45">
        <v>17</v>
      </c>
      <c r="Y20" s="46"/>
      <c r="Z20" s="46"/>
      <c r="AA20" s="46"/>
      <c r="AB20" s="47">
        <v>25</v>
      </c>
      <c r="AC20" s="47">
        <v>20.55</v>
      </c>
      <c r="AD20" s="47">
        <v>19.55</v>
      </c>
      <c r="AE20" s="47"/>
      <c r="AF20" s="48">
        <v>20</v>
      </c>
      <c r="AG20" s="48"/>
      <c r="AH20" s="48">
        <f>14.8*1.05</f>
        <v>15.540000000000001</v>
      </c>
      <c r="AI20" s="47"/>
      <c r="AJ20" s="47"/>
      <c r="AK20" s="47"/>
      <c r="AL20" s="47"/>
      <c r="AM20" s="47"/>
      <c r="AN20" s="47"/>
      <c r="AP20" s="104">
        <v>1023</v>
      </c>
      <c r="AQ20" s="33">
        <f>VLOOKUP(AP20,'[1]Product Master'!$F$1:$L$57,7,0)</f>
        <v>25</v>
      </c>
      <c r="AR20" s="33" t="str">
        <f t="shared" si="1"/>
        <v>true</v>
      </c>
    </row>
    <row r="21" spans="1:44" ht="15.95" customHeight="1" x14ac:dyDescent="0.25">
      <c r="A21" s="4">
        <f t="shared" si="2"/>
        <v>18</v>
      </c>
      <c r="B21" s="5" t="s">
        <v>52</v>
      </c>
      <c r="C21" s="75">
        <v>0.05</v>
      </c>
      <c r="D21" s="4">
        <v>10</v>
      </c>
      <c r="E21" s="6">
        <v>35</v>
      </c>
      <c r="F21" s="6">
        <v>31.25</v>
      </c>
      <c r="G21" s="6">
        <v>30</v>
      </c>
      <c r="H21" s="6">
        <f t="shared" si="4"/>
        <v>28.571428571428569</v>
      </c>
      <c r="I21" s="109" t="s">
        <v>53</v>
      </c>
      <c r="J21" s="6">
        <v>28.40909090909091</v>
      </c>
      <c r="K21" s="6">
        <v>27.272727272727273</v>
      </c>
      <c r="L21" s="6">
        <f t="shared" si="5"/>
        <v>25.974025974025974</v>
      </c>
      <c r="M21" s="6">
        <v>28</v>
      </c>
      <c r="N21" s="6">
        <v>28</v>
      </c>
      <c r="O21" s="6">
        <v>28</v>
      </c>
      <c r="P21" s="6">
        <f t="shared" si="0"/>
        <v>31.25</v>
      </c>
      <c r="Q21" s="6">
        <f t="shared" si="3"/>
        <v>28</v>
      </c>
      <c r="R21" s="6" t="s">
        <v>23</v>
      </c>
      <c r="S21" s="6"/>
      <c r="V21" s="68"/>
      <c r="W21" s="68"/>
      <c r="X21" s="68"/>
      <c r="Y21" s="46"/>
      <c r="Z21" s="46"/>
      <c r="AA21" s="46"/>
      <c r="AB21" s="47"/>
      <c r="AC21" s="47"/>
      <c r="AD21" s="47"/>
      <c r="AE21" s="47"/>
      <c r="AF21" s="48">
        <v>20</v>
      </c>
      <c r="AG21" s="48"/>
      <c r="AH21" s="48">
        <f>16.45*1.05</f>
        <v>17.272500000000001</v>
      </c>
      <c r="AI21" s="47"/>
      <c r="AJ21" s="47"/>
      <c r="AK21" s="47"/>
      <c r="AL21" s="47"/>
      <c r="AM21" s="47"/>
      <c r="AN21" s="47"/>
      <c r="AP21" s="104">
        <v>1024</v>
      </c>
      <c r="AQ21" s="33">
        <f>VLOOKUP(AP21,'[1]Product Master'!$F$1:$L$57,7,0)</f>
        <v>35</v>
      </c>
      <c r="AR21" s="33" t="str">
        <f t="shared" si="1"/>
        <v>true</v>
      </c>
    </row>
    <row r="22" spans="1:44" ht="15.95" customHeight="1" x14ac:dyDescent="0.25">
      <c r="A22" s="4">
        <f t="shared" si="2"/>
        <v>19</v>
      </c>
      <c r="B22" s="108" t="s">
        <v>54</v>
      </c>
      <c r="C22" s="75">
        <v>0.05</v>
      </c>
      <c r="D22" s="4">
        <v>10</v>
      </c>
      <c r="E22" s="6">
        <v>15</v>
      </c>
      <c r="F22" s="6">
        <v>13</v>
      </c>
      <c r="G22" s="6">
        <v>12.25</v>
      </c>
      <c r="H22" s="6">
        <f t="shared" si="4"/>
        <v>11.666666666666666</v>
      </c>
      <c r="I22" s="4" t="s">
        <v>53</v>
      </c>
      <c r="J22" s="6">
        <v>11.818181818181818</v>
      </c>
      <c r="K22" s="6">
        <v>11.136363636363637</v>
      </c>
      <c r="L22" s="6">
        <f t="shared" si="5"/>
        <v>10.606060606060606</v>
      </c>
      <c r="M22" s="6">
        <v>11.25</v>
      </c>
      <c r="N22" s="6">
        <v>12.25</v>
      </c>
      <c r="O22" s="6">
        <v>10.5</v>
      </c>
      <c r="P22" s="6">
        <f t="shared" si="0"/>
        <v>13</v>
      </c>
      <c r="Q22" s="6">
        <f t="shared" si="3"/>
        <v>12.25</v>
      </c>
      <c r="R22" s="6" t="s">
        <v>23</v>
      </c>
      <c r="S22" s="6"/>
      <c r="V22" s="68"/>
      <c r="W22" s="68"/>
      <c r="X22" s="68"/>
      <c r="Y22" s="46">
        <v>7</v>
      </c>
      <c r="Z22" s="46">
        <v>6.29</v>
      </c>
      <c r="AA22" s="46">
        <v>6.06</v>
      </c>
      <c r="AB22" s="47"/>
      <c r="AC22" s="47"/>
      <c r="AD22" s="47"/>
      <c r="AE22" s="47"/>
      <c r="AF22" s="48"/>
      <c r="AG22" s="48"/>
      <c r="AH22" s="48"/>
      <c r="AI22" s="47"/>
      <c r="AJ22" s="47"/>
      <c r="AK22" s="47"/>
      <c r="AL22" s="47"/>
      <c r="AM22" s="47"/>
      <c r="AN22" s="47"/>
      <c r="AP22" s="104">
        <v>1046</v>
      </c>
      <c r="AQ22" s="33">
        <f>VLOOKUP(AP22,'[1]Product Master'!$F$1:$L$57,7,0)</f>
        <v>15</v>
      </c>
      <c r="AR22" s="33" t="str">
        <f t="shared" si="1"/>
        <v>true</v>
      </c>
    </row>
    <row r="23" spans="1:44" ht="15.95" customHeight="1" x14ac:dyDescent="0.25">
      <c r="A23" s="4">
        <f t="shared" si="2"/>
        <v>20</v>
      </c>
      <c r="B23" s="108" t="s">
        <v>55</v>
      </c>
      <c r="C23" s="75">
        <v>0.05</v>
      </c>
      <c r="D23" s="4">
        <v>12</v>
      </c>
      <c r="E23" s="6">
        <v>40</v>
      </c>
      <c r="F23" s="6">
        <v>35</v>
      </c>
      <c r="G23" s="6">
        <v>32</v>
      </c>
      <c r="H23" s="6">
        <f t="shared" si="4"/>
        <v>30.476190476190474</v>
      </c>
      <c r="I23" s="109" t="s">
        <v>56</v>
      </c>
      <c r="J23" s="6">
        <v>29.166666666666668</v>
      </c>
      <c r="K23" s="6">
        <v>26.666666666666668</v>
      </c>
      <c r="L23" s="6">
        <f t="shared" si="5"/>
        <v>25.396825396825395</v>
      </c>
      <c r="M23" s="6">
        <v>32</v>
      </c>
      <c r="N23" s="6">
        <v>32</v>
      </c>
      <c r="O23" s="6">
        <v>32</v>
      </c>
      <c r="P23" s="6">
        <f t="shared" si="0"/>
        <v>35</v>
      </c>
      <c r="Q23" s="6">
        <f t="shared" si="3"/>
        <v>32</v>
      </c>
      <c r="R23" s="6" t="s">
        <v>23</v>
      </c>
      <c r="S23" s="6"/>
      <c r="V23" s="68"/>
      <c r="W23" s="68"/>
      <c r="X23" s="68"/>
      <c r="Y23" s="46"/>
      <c r="Z23" s="46"/>
      <c r="AA23" s="46"/>
      <c r="AB23" s="47"/>
      <c r="AC23" s="47"/>
      <c r="AD23" s="47"/>
      <c r="AE23" s="47"/>
      <c r="AF23" s="48"/>
      <c r="AG23" s="48"/>
      <c r="AH23" s="48"/>
      <c r="AI23" s="47"/>
      <c r="AJ23" s="47"/>
      <c r="AK23" s="47"/>
      <c r="AL23" s="47"/>
      <c r="AM23" s="47"/>
      <c r="AN23" s="47"/>
      <c r="AP23" s="33">
        <v>1036</v>
      </c>
      <c r="AQ23" s="33">
        <f>VLOOKUP(AP23,'[1]Product Master'!$F$1:$L$57,7,0)</f>
        <v>40</v>
      </c>
      <c r="AR23" s="33" t="str">
        <f t="shared" si="1"/>
        <v>true</v>
      </c>
    </row>
    <row r="24" spans="1:44" ht="15.95" customHeight="1" x14ac:dyDescent="0.25">
      <c r="A24" s="4">
        <f t="shared" si="2"/>
        <v>21</v>
      </c>
      <c r="B24" s="108" t="s">
        <v>57</v>
      </c>
      <c r="C24" s="75">
        <v>0.05</v>
      </c>
      <c r="D24" s="4">
        <v>6</v>
      </c>
      <c r="E24" s="6">
        <v>40</v>
      </c>
      <c r="F24" s="6">
        <v>35</v>
      </c>
      <c r="G24" s="6">
        <v>32</v>
      </c>
      <c r="H24" s="6">
        <f t="shared" si="4"/>
        <v>30.476190476190474</v>
      </c>
      <c r="I24" s="109" t="s">
        <v>58</v>
      </c>
      <c r="J24" s="6">
        <v>29.166666666666668</v>
      </c>
      <c r="K24" s="6">
        <v>26.666666666666668</v>
      </c>
      <c r="L24" s="6">
        <f t="shared" si="5"/>
        <v>25.396825396825395</v>
      </c>
      <c r="M24" s="6">
        <v>32</v>
      </c>
      <c r="N24" s="6">
        <v>32</v>
      </c>
      <c r="O24" s="6">
        <v>32</v>
      </c>
      <c r="P24" s="6">
        <f t="shared" si="0"/>
        <v>35</v>
      </c>
      <c r="Q24" s="6">
        <f t="shared" si="3"/>
        <v>32</v>
      </c>
      <c r="R24" s="6" t="s">
        <v>23</v>
      </c>
      <c r="S24" s="6"/>
      <c r="V24" s="45">
        <v>35</v>
      </c>
      <c r="W24" s="45">
        <v>28.7</v>
      </c>
      <c r="X24" s="45">
        <v>26.6</v>
      </c>
      <c r="Y24" s="46"/>
      <c r="Z24" s="46"/>
      <c r="AA24" s="46"/>
      <c r="AB24" s="47"/>
      <c r="AC24" s="47"/>
      <c r="AD24" s="47"/>
      <c r="AE24" s="47"/>
      <c r="AF24" s="48"/>
      <c r="AG24" s="48"/>
      <c r="AH24" s="48"/>
      <c r="AI24" s="47"/>
      <c r="AJ24" s="47"/>
      <c r="AK24" s="47"/>
      <c r="AL24" s="47"/>
      <c r="AM24" s="47"/>
      <c r="AN24" s="47"/>
      <c r="AP24" s="33">
        <v>1048</v>
      </c>
      <c r="AQ24" s="33">
        <f>VLOOKUP(AP24,'[1]Product Master'!$F$1:$L$57,7,0)</f>
        <v>40</v>
      </c>
      <c r="AR24" s="33" t="str">
        <f t="shared" si="1"/>
        <v>true</v>
      </c>
    </row>
    <row r="25" spans="1:44" ht="15.95" customHeight="1" x14ac:dyDescent="0.25">
      <c r="A25" s="4">
        <f t="shared" si="2"/>
        <v>22</v>
      </c>
      <c r="B25" s="5" t="s">
        <v>59</v>
      </c>
      <c r="C25" s="75">
        <v>0.05</v>
      </c>
      <c r="D25" s="4">
        <v>1</v>
      </c>
      <c r="E25" s="6">
        <v>120</v>
      </c>
      <c r="F25" s="6">
        <v>104.4</v>
      </c>
      <c r="G25" s="6">
        <v>96</v>
      </c>
      <c r="H25" s="6">
        <f t="shared" si="4"/>
        <v>91.428571428571431</v>
      </c>
      <c r="I25" s="4" t="s">
        <v>23</v>
      </c>
      <c r="J25" s="6">
        <v>104.4</v>
      </c>
      <c r="K25" s="6">
        <v>96</v>
      </c>
      <c r="L25" s="6">
        <f t="shared" si="5"/>
        <v>91.428571428571431</v>
      </c>
      <c r="M25" s="6">
        <v>96</v>
      </c>
      <c r="N25" s="6">
        <v>96</v>
      </c>
      <c r="O25" s="6">
        <v>96</v>
      </c>
      <c r="P25" s="6">
        <f t="shared" si="0"/>
        <v>104.4</v>
      </c>
      <c r="Q25" s="6">
        <f t="shared" si="3"/>
        <v>96</v>
      </c>
      <c r="R25" s="6" t="s">
        <v>23</v>
      </c>
      <c r="S25" s="6"/>
      <c r="V25" s="45">
        <v>100</v>
      </c>
      <c r="W25" s="45">
        <v>86.96</v>
      </c>
      <c r="X25" s="45">
        <v>79.05</v>
      </c>
      <c r="Y25" s="46"/>
      <c r="Z25" s="46"/>
      <c r="AA25" s="46"/>
      <c r="AB25" s="47"/>
      <c r="AC25" s="47"/>
      <c r="AD25" s="47"/>
      <c r="AE25" s="47"/>
      <c r="AF25" s="48"/>
      <c r="AG25" s="48"/>
      <c r="AH25" s="48"/>
      <c r="AI25" s="47"/>
      <c r="AJ25" s="47"/>
      <c r="AK25" s="47"/>
      <c r="AL25" s="47"/>
      <c r="AM25" s="47"/>
      <c r="AN25" s="47"/>
      <c r="AP25" s="104">
        <v>1034</v>
      </c>
      <c r="AQ25" s="33">
        <f>VLOOKUP(AP25,'[1]Product Master'!$F$1:$L$57,7,0)</f>
        <v>110</v>
      </c>
      <c r="AR25" s="33" t="str">
        <f t="shared" si="1"/>
        <v>false</v>
      </c>
    </row>
    <row r="26" spans="1:44" ht="15.95" customHeight="1" x14ac:dyDescent="0.25">
      <c r="A26" s="4">
        <f t="shared" si="2"/>
        <v>23</v>
      </c>
      <c r="B26" s="5" t="s">
        <v>60</v>
      </c>
      <c r="C26" s="75">
        <v>0.05</v>
      </c>
      <c r="D26" s="4">
        <v>1</v>
      </c>
      <c r="E26" s="6">
        <v>120</v>
      </c>
      <c r="F26" s="6">
        <v>104.4</v>
      </c>
      <c r="G26" s="6">
        <v>96</v>
      </c>
      <c r="H26" s="6">
        <f t="shared" si="4"/>
        <v>91.428571428571431</v>
      </c>
      <c r="I26" s="4" t="s">
        <v>23</v>
      </c>
      <c r="J26" s="6">
        <v>104.4</v>
      </c>
      <c r="K26" s="6">
        <v>96</v>
      </c>
      <c r="L26" s="6">
        <f t="shared" si="5"/>
        <v>91.428571428571431</v>
      </c>
      <c r="M26" s="6">
        <v>96</v>
      </c>
      <c r="N26" s="6">
        <v>96</v>
      </c>
      <c r="O26" s="6">
        <v>96</v>
      </c>
      <c r="P26" s="6">
        <f t="shared" si="0"/>
        <v>104.4</v>
      </c>
      <c r="Q26" s="6">
        <f t="shared" si="3"/>
        <v>96</v>
      </c>
      <c r="R26" s="6" t="s">
        <v>23</v>
      </c>
      <c r="S26" s="6"/>
      <c r="V26" s="68"/>
      <c r="W26" s="68"/>
      <c r="X26" s="68"/>
      <c r="Y26" s="46"/>
      <c r="Z26" s="46"/>
      <c r="AA26" s="46"/>
      <c r="AB26" s="47"/>
      <c r="AC26" s="47"/>
      <c r="AD26" s="47"/>
      <c r="AE26" s="47"/>
      <c r="AF26" s="48"/>
      <c r="AG26" s="48"/>
      <c r="AH26" s="48"/>
      <c r="AI26" s="47"/>
      <c r="AJ26" s="47"/>
      <c r="AK26" s="47"/>
      <c r="AL26" s="47"/>
      <c r="AM26" s="47"/>
      <c r="AN26" s="47"/>
      <c r="AP26" s="104">
        <v>1049</v>
      </c>
      <c r="AQ26" s="33">
        <f>VLOOKUP(AP26,'[1]Product Master'!$F$1:$L$57,7,0)</f>
        <v>120</v>
      </c>
      <c r="AR26" s="33" t="str">
        <f t="shared" si="1"/>
        <v>true</v>
      </c>
    </row>
    <row r="27" spans="1:44" ht="15.95" customHeight="1" x14ac:dyDescent="0.25">
      <c r="A27" s="4">
        <f t="shared" si="2"/>
        <v>24</v>
      </c>
      <c r="B27" s="5" t="s">
        <v>61</v>
      </c>
      <c r="C27" s="75">
        <v>0.05</v>
      </c>
      <c r="D27" s="4">
        <v>1</v>
      </c>
      <c r="E27" s="6">
        <v>395</v>
      </c>
      <c r="F27" s="6">
        <v>355</v>
      </c>
      <c r="G27" s="6">
        <v>340</v>
      </c>
      <c r="H27" s="6">
        <f t="shared" si="4"/>
        <v>323.8095238095238</v>
      </c>
      <c r="I27" s="4" t="s">
        <v>23</v>
      </c>
      <c r="J27" s="6">
        <v>355</v>
      </c>
      <c r="K27" s="6">
        <v>340</v>
      </c>
      <c r="L27" s="6">
        <f t="shared" si="5"/>
        <v>323.8095238095238</v>
      </c>
      <c r="M27" s="6">
        <v>340</v>
      </c>
      <c r="N27" s="6">
        <v>340</v>
      </c>
      <c r="O27" s="7" t="s">
        <v>23</v>
      </c>
      <c r="P27" s="6">
        <f t="shared" si="0"/>
        <v>355</v>
      </c>
      <c r="Q27" s="6">
        <f t="shared" si="3"/>
        <v>340</v>
      </c>
      <c r="R27" s="6" t="s">
        <v>23</v>
      </c>
      <c r="S27" s="6"/>
      <c r="V27" s="68"/>
      <c r="W27" s="68"/>
      <c r="X27" s="68"/>
      <c r="Y27" s="46"/>
      <c r="Z27" s="46"/>
      <c r="AA27" s="46"/>
      <c r="AB27" s="47"/>
      <c r="AC27" s="47"/>
      <c r="AD27" s="47"/>
      <c r="AE27" s="47"/>
      <c r="AF27" s="48"/>
      <c r="AG27" s="48"/>
      <c r="AH27" s="48"/>
      <c r="AI27" s="47">
        <v>395</v>
      </c>
      <c r="AJ27" s="47">
        <v>355</v>
      </c>
      <c r="AK27" s="47">
        <v>330</v>
      </c>
      <c r="AL27" s="47"/>
      <c r="AM27" s="47"/>
      <c r="AN27" s="47"/>
      <c r="AP27" s="104">
        <v>1035</v>
      </c>
      <c r="AQ27" s="33">
        <f>VLOOKUP(AP27,'[1]Product Master'!$F$1:$L$57,7,0)</f>
        <v>395</v>
      </c>
      <c r="AR27" s="33" t="str">
        <f t="shared" si="1"/>
        <v>true</v>
      </c>
    </row>
    <row r="28" spans="1:44" ht="15.95" customHeight="1" x14ac:dyDescent="0.25">
      <c r="A28" s="4">
        <f t="shared" si="2"/>
        <v>25</v>
      </c>
      <c r="B28" s="5" t="s">
        <v>63</v>
      </c>
      <c r="C28" s="4" t="s">
        <v>23</v>
      </c>
      <c r="D28" s="4">
        <v>5</v>
      </c>
      <c r="E28" s="6">
        <v>95</v>
      </c>
      <c r="F28" s="6">
        <v>84.549999999999983</v>
      </c>
      <c r="G28" s="6">
        <v>81.167999999999978</v>
      </c>
      <c r="H28" s="6">
        <f>G28</f>
        <v>81.167999999999978</v>
      </c>
      <c r="I28" s="4" t="s">
        <v>23</v>
      </c>
      <c r="J28" s="6">
        <v>84.549999999999983</v>
      </c>
      <c r="K28" s="6">
        <v>81.167999999999978</v>
      </c>
      <c r="L28" s="6">
        <f>K28</f>
        <v>81.167999999999978</v>
      </c>
      <c r="M28" s="6">
        <v>82.65</v>
      </c>
      <c r="N28" s="6">
        <v>81.167999999999978</v>
      </c>
      <c r="O28" s="6">
        <v>77.900000000000006</v>
      </c>
      <c r="P28" s="6">
        <f t="shared" si="0"/>
        <v>84.549999999999983</v>
      </c>
      <c r="Q28" s="6">
        <f t="shared" si="3"/>
        <v>81.167999999999978</v>
      </c>
      <c r="R28" s="6"/>
      <c r="S28" s="6"/>
      <c r="V28" s="45">
        <v>85</v>
      </c>
      <c r="W28" s="45">
        <v>76.16</v>
      </c>
      <c r="X28" s="45">
        <v>73.36</v>
      </c>
      <c r="Y28" s="46">
        <v>91</v>
      </c>
      <c r="Z28" s="46">
        <v>76.62</v>
      </c>
      <c r="AA28" s="46">
        <v>73.709999999999994</v>
      </c>
      <c r="AB28" s="47">
        <v>85</v>
      </c>
      <c r="AC28" s="47">
        <v>75</v>
      </c>
      <c r="AD28" s="47">
        <v>69.650000000000006</v>
      </c>
      <c r="AE28" s="47"/>
      <c r="AF28" s="48"/>
      <c r="AG28" s="48"/>
      <c r="AH28" s="48"/>
      <c r="AI28" s="47">
        <v>90</v>
      </c>
      <c r="AJ28" s="47">
        <v>80</v>
      </c>
      <c r="AK28" s="47">
        <v>70</v>
      </c>
      <c r="AL28" s="47">
        <v>86</v>
      </c>
      <c r="AM28" s="47">
        <v>78</v>
      </c>
      <c r="AN28" s="47">
        <v>76</v>
      </c>
      <c r="AP28" s="104">
        <v>1005</v>
      </c>
      <c r="AQ28" s="33">
        <f>VLOOKUP(AP28,'[1]Product Master'!$F$1:$L$57,7,0)</f>
        <v>86</v>
      </c>
      <c r="AR28" s="33" t="str">
        <f t="shared" si="1"/>
        <v>false</v>
      </c>
    </row>
    <row r="29" spans="1:44" ht="15.95" customHeight="1" x14ac:dyDescent="0.25">
      <c r="A29" s="4">
        <f t="shared" si="2"/>
        <v>26</v>
      </c>
      <c r="B29" s="108" t="s">
        <v>66</v>
      </c>
      <c r="C29" s="4" t="s">
        <v>23</v>
      </c>
      <c r="D29" s="4">
        <v>1</v>
      </c>
      <c r="E29" s="6">
        <v>205</v>
      </c>
      <c r="F29" s="6">
        <v>182.44999999999996</v>
      </c>
      <c r="G29" s="6">
        <v>175.15199999999993</v>
      </c>
      <c r="H29" s="6">
        <f>G29</f>
        <v>175.15199999999993</v>
      </c>
      <c r="I29" s="4" t="s">
        <v>23</v>
      </c>
      <c r="J29" s="6">
        <v>182.44999999999996</v>
      </c>
      <c r="K29" s="6">
        <v>175.15199999999993</v>
      </c>
      <c r="L29" s="6">
        <f>K29</f>
        <v>175.15199999999993</v>
      </c>
      <c r="M29" s="6">
        <v>178.35</v>
      </c>
      <c r="N29" s="6">
        <v>175.15199999999993</v>
      </c>
      <c r="O29" s="6">
        <v>168.1</v>
      </c>
      <c r="P29" s="6">
        <f t="shared" si="0"/>
        <v>182.44999999999996</v>
      </c>
      <c r="Q29" s="6">
        <f t="shared" si="3"/>
        <v>175.15199999999993</v>
      </c>
      <c r="R29" s="6"/>
      <c r="S29" s="6"/>
      <c r="V29" s="45">
        <v>0</v>
      </c>
      <c r="W29" s="45">
        <v>0</v>
      </c>
      <c r="X29" s="45">
        <v>0</v>
      </c>
      <c r="Y29" s="46"/>
      <c r="Z29" s="46"/>
      <c r="AA29" s="46"/>
      <c r="AB29" s="47"/>
      <c r="AC29" s="47"/>
      <c r="AD29" s="47"/>
      <c r="AE29" s="47"/>
      <c r="AF29" s="48"/>
      <c r="AG29" s="48"/>
      <c r="AH29" s="48"/>
      <c r="AI29" s="47">
        <v>200</v>
      </c>
      <c r="AJ29" s="47">
        <v>150</v>
      </c>
      <c r="AK29" s="47">
        <v>185</v>
      </c>
      <c r="AL29" s="47"/>
      <c r="AM29" s="47"/>
      <c r="AN29" s="47"/>
      <c r="AP29" s="104">
        <v>1006</v>
      </c>
      <c r="AQ29" s="33">
        <f>VLOOKUP(AP29,'[1]Product Master'!$F$1:$L$57,7,0)</f>
        <v>191</v>
      </c>
      <c r="AR29" s="33" t="str">
        <f t="shared" si="1"/>
        <v>false</v>
      </c>
    </row>
    <row r="30" spans="1:44" ht="15.95" customHeight="1" x14ac:dyDescent="0.25">
      <c r="A30" s="4">
        <f t="shared" si="2"/>
        <v>27</v>
      </c>
      <c r="B30" s="108" t="s">
        <v>67</v>
      </c>
      <c r="C30" s="4" t="s">
        <v>23</v>
      </c>
      <c r="D30" s="4">
        <v>1</v>
      </c>
      <c r="E30" s="6">
        <v>405</v>
      </c>
      <c r="F30" s="6">
        <v>360.45</v>
      </c>
      <c r="G30" s="6">
        <v>346.03199999999998</v>
      </c>
      <c r="H30" s="6">
        <f>G30</f>
        <v>346.03199999999998</v>
      </c>
      <c r="I30" s="4" t="s">
        <v>23</v>
      </c>
      <c r="J30" s="6">
        <v>360.45</v>
      </c>
      <c r="K30" s="6">
        <v>346.03199999999998</v>
      </c>
      <c r="L30" s="6">
        <f>K30</f>
        <v>346.03199999999998</v>
      </c>
      <c r="M30" s="6">
        <v>346.03199999999998</v>
      </c>
      <c r="N30" s="6">
        <v>346.03199999999998</v>
      </c>
      <c r="O30" s="7">
        <v>346.03199999999998</v>
      </c>
      <c r="P30" s="6">
        <f t="shared" si="0"/>
        <v>360.45</v>
      </c>
      <c r="Q30" s="6">
        <f t="shared" si="3"/>
        <v>346.03199999999998</v>
      </c>
      <c r="R30" s="6"/>
      <c r="S30" s="6"/>
      <c r="V30" s="45">
        <v>395</v>
      </c>
      <c r="W30" s="45">
        <v>350</v>
      </c>
      <c r="X30" s="45">
        <v>340</v>
      </c>
      <c r="Y30" s="46">
        <v>415</v>
      </c>
      <c r="Z30" s="46">
        <v>370.18</v>
      </c>
      <c r="AA30" s="46">
        <v>356.1</v>
      </c>
      <c r="AB30" s="47">
        <v>380</v>
      </c>
      <c r="AC30" s="47">
        <v>359</v>
      </c>
      <c r="AD30" s="47">
        <v>341.7</v>
      </c>
      <c r="AE30" s="47"/>
      <c r="AF30" s="48"/>
      <c r="AG30" s="48"/>
      <c r="AH30" s="48"/>
      <c r="AI30" s="47">
        <v>390</v>
      </c>
      <c r="AJ30" s="47">
        <v>340</v>
      </c>
      <c r="AK30" s="47">
        <v>300</v>
      </c>
      <c r="AL30" s="47">
        <v>376</v>
      </c>
      <c r="AM30" s="47">
        <v>334</v>
      </c>
      <c r="AN30" s="47">
        <v>330</v>
      </c>
      <c r="AP30" s="104">
        <v>1007</v>
      </c>
      <c r="AQ30" s="33">
        <f>VLOOKUP(AP30,'[1]Product Master'!$F$1:$L$57,7,0)</f>
        <v>376</v>
      </c>
      <c r="AR30" s="33" t="str">
        <f t="shared" si="1"/>
        <v>false</v>
      </c>
    </row>
    <row r="31" spans="1:44" ht="15.95" hidden="1" customHeight="1" x14ac:dyDescent="0.25">
      <c r="A31" s="4">
        <f t="shared" si="2"/>
        <v>28</v>
      </c>
      <c r="B31" s="5" t="s">
        <v>97</v>
      </c>
      <c r="C31" s="75">
        <v>0.05</v>
      </c>
      <c r="D31" s="4">
        <v>12</v>
      </c>
      <c r="E31" s="6">
        <v>30</v>
      </c>
      <c r="F31" s="6">
        <v>26</v>
      </c>
      <c r="G31" s="6">
        <v>24</v>
      </c>
      <c r="H31" s="6">
        <f t="shared" si="4"/>
        <v>22.857142857142858</v>
      </c>
      <c r="I31" s="4"/>
      <c r="J31" s="6">
        <v>26</v>
      </c>
      <c r="K31" s="6">
        <v>24</v>
      </c>
      <c r="L31" s="6">
        <f t="shared" si="5"/>
        <v>22.857142857142858</v>
      </c>
      <c r="M31" s="6" t="s">
        <v>23</v>
      </c>
      <c r="N31" s="6" t="s">
        <v>23</v>
      </c>
      <c r="O31" s="6">
        <f>E31-(E31*15%)</f>
        <v>25.5</v>
      </c>
      <c r="P31" s="6" t="s">
        <v>23</v>
      </c>
      <c r="Q31" s="6" t="str">
        <f t="shared" si="3"/>
        <v>-</v>
      </c>
      <c r="R31" s="6" t="s">
        <v>23</v>
      </c>
      <c r="S31" s="6"/>
      <c r="V31" s="45">
        <v>20</v>
      </c>
      <c r="W31" s="45">
        <v>17.399999999999999</v>
      </c>
      <c r="X31" s="45">
        <v>16.11</v>
      </c>
      <c r="Y31" s="46"/>
      <c r="Z31" s="46"/>
      <c r="AA31" s="46"/>
      <c r="AB31" s="47"/>
      <c r="AC31" s="47"/>
      <c r="AD31" s="47"/>
      <c r="AE31" s="47"/>
      <c r="AF31" s="48"/>
      <c r="AG31" s="48"/>
      <c r="AH31" s="48"/>
      <c r="AI31" s="47"/>
      <c r="AJ31" s="47"/>
      <c r="AK31" s="47"/>
      <c r="AL31" s="47"/>
      <c r="AM31" s="47"/>
      <c r="AN31" s="47"/>
      <c r="AP31" s="33">
        <v>1043</v>
      </c>
      <c r="AQ31" s="33">
        <f>VLOOKUP(AP31,'[1]Product Master'!$F$1:$L$57,7,0)</f>
        <v>30</v>
      </c>
      <c r="AR31" s="33" t="str">
        <f t="shared" si="1"/>
        <v>true</v>
      </c>
    </row>
    <row r="32" spans="1:44" ht="15.95" hidden="1" customHeight="1" x14ac:dyDescent="0.25">
      <c r="A32" s="4">
        <f t="shared" si="2"/>
        <v>29</v>
      </c>
      <c r="B32" s="5" t="s">
        <v>98</v>
      </c>
      <c r="C32" s="75">
        <v>0.05</v>
      </c>
      <c r="D32" s="4">
        <v>12</v>
      </c>
      <c r="E32" s="6">
        <v>20</v>
      </c>
      <c r="F32" s="6">
        <v>16.501650165016503</v>
      </c>
      <c r="G32" s="6">
        <v>14.736247691566803</v>
      </c>
      <c r="H32" s="6">
        <f t="shared" si="4"/>
        <v>14.034521611016002</v>
      </c>
      <c r="I32" s="4" t="s">
        <v>23</v>
      </c>
      <c r="J32" s="6">
        <f>F32</f>
        <v>16.501650165016503</v>
      </c>
      <c r="K32" s="6">
        <f>G32</f>
        <v>14.736247691566803</v>
      </c>
      <c r="L32" s="6">
        <f t="shared" si="5"/>
        <v>14.034521611016002</v>
      </c>
      <c r="M32" s="6" t="s">
        <v>23</v>
      </c>
      <c r="N32" s="6" t="s">
        <v>23</v>
      </c>
      <c r="O32" s="6">
        <f>E32-(E32*15%)</f>
        <v>17</v>
      </c>
      <c r="P32" s="6" t="s">
        <v>23</v>
      </c>
      <c r="Q32" s="6" t="str">
        <f t="shared" si="3"/>
        <v>-</v>
      </c>
      <c r="R32" s="6" t="s">
        <v>232</v>
      </c>
      <c r="S32" s="6"/>
      <c r="V32" s="45">
        <v>20</v>
      </c>
      <c r="W32" s="45">
        <v>16.501650165016503</v>
      </c>
      <c r="X32" s="45">
        <v>14.74</v>
      </c>
      <c r="Y32" s="46"/>
      <c r="Z32" s="46"/>
      <c r="AA32" s="46"/>
      <c r="AB32" s="47"/>
      <c r="AC32" s="47"/>
      <c r="AD32" s="47"/>
      <c r="AE32" s="47"/>
      <c r="AF32" s="48">
        <v>20</v>
      </c>
      <c r="AG32" s="48"/>
      <c r="AH32" s="48">
        <f>15.94*1.05</f>
        <v>16.737000000000002</v>
      </c>
      <c r="AI32" s="47"/>
      <c r="AJ32" s="47"/>
      <c r="AK32" s="47"/>
      <c r="AL32" s="47"/>
      <c r="AM32" s="47"/>
      <c r="AN32" s="47"/>
      <c r="AP32" s="33">
        <v>1044</v>
      </c>
      <c r="AQ32" s="33">
        <f>VLOOKUP(AP32,'[1]Product Master'!$F$1:$L$57,7,0)</f>
        <v>20</v>
      </c>
      <c r="AR32" s="33" t="str">
        <f t="shared" si="1"/>
        <v>true</v>
      </c>
    </row>
    <row r="33" spans="1:44" ht="15.95" hidden="1" customHeight="1" x14ac:dyDescent="0.25">
      <c r="A33" s="4">
        <f t="shared" si="2"/>
        <v>30</v>
      </c>
      <c r="B33" s="5" t="s">
        <v>70</v>
      </c>
      <c r="C33" s="75">
        <v>0.05</v>
      </c>
      <c r="D33" s="4">
        <v>90</v>
      </c>
      <c r="E33" s="6">
        <v>149</v>
      </c>
      <c r="F33" s="6">
        <v>134.23423423423424</v>
      </c>
      <c r="G33" s="6">
        <v>129.07137907137906</v>
      </c>
      <c r="H33" s="6">
        <f t="shared" si="4"/>
        <v>122.92512292512291</v>
      </c>
      <c r="I33" s="141" t="s">
        <v>231</v>
      </c>
      <c r="J33" s="6">
        <f>F33-(20/5)</f>
        <v>130.23423423423424</v>
      </c>
      <c r="K33" s="6">
        <f>G33-(20/5)</f>
        <v>125.07137907137906</v>
      </c>
      <c r="L33" s="6">
        <f t="shared" si="5"/>
        <v>119.1155991155991</v>
      </c>
      <c r="M33" s="6"/>
      <c r="N33" s="6">
        <f t="shared" ref="N33:N38" si="6">O33-(100/D33)</f>
        <v>125.53888888888889</v>
      </c>
      <c r="O33" s="6">
        <v>126.65</v>
      </c>
      <c r="P33" s="6">
        <v>126.65</v>
      </c>
      <c r="Q33" s="6" t="s">
        <v>23</v>
      </c>
      <c r="R33" s="14">
        <f t="shared" ref="R33:R38" si="7">O33-(100/D33)</f>
        <v>125.53888888888889</v>
      </c>
      <c r="S33" s="107"/>
      <c r="V33" s="68"/>
      <c r="W33" s="68"/>
      <c r="X33" s="68"/>
      <c r="Y33" s="46"/>
      <c r="Z33" s="46"/>
      <c r="AA33" s="46"/>
      <c r="AB33" s="47"/>
      <c r="AC33" s="47"/>
      <c r="AD33" s="47"/>
      <c r="AE33" s="47"/>
      <c r="AF33" s="48"/>
      <c r="AG33" s="48"/>
      <c r="AH33" s="48"/>
      <c r="AI33" s="47"/>
      <c r="AJ33" s="47"/>
      <c r="AK33" s="47"/>
      <c r="AL33" s="47"/>
      <c r="AM33" s="47"/>
      <c r="AN33" s="47"/>
      <c r="AP33" s="104"/>
    </row>
    <row r="34" spans="1:44" ht="15.95" hidden="1" customHeight="1" x14ac:dyDescent="0.25">
      <c r="A34" s="4">
        <f t="shared" si="2"/>
        <v>31</v>
      </c>
      <c r="B34" s="108" t="s">
        <v>72</v>
      </c>
      <c r="C34" s="75">
        <v>0.05</v>
      </c>
      <c r="D34" s="4">
        <v>36</v>
      </c>
      <c r="E34" s="6">
        <v>354</v>
      </c>
      <c r="F34" s="6">
        <v>318.91891891891891</v>
      </c>
      <c r="G34" s="6">
        <v>306.65280665280665</v>
      </c>
      <c r="H34" s="6">
        <f t="shared" si="4"/>
        <v>292.05029205029206</v>
      </c>
      <c r="I34" s="142"/>
      <c r="J34" s="6">
        <f>F34-(20/2)</f>
        <v>308.91891891891891</v>
      </c>
      <c r="K34" s="6">
        <f>G34-(20/2)</f>
        <v>296.65280665280665</v>
      </c>
      <c r="L34" s="6">
        <f t="shared" si="5"/>
        <v>282.52648252648248</v>
      </c>
      <c r="M34" s="6"/>
      <c r="N34" s="6">
        <f t="shared" si="6"/>
        <v>298.12222222222221</v>
      </c>
      <c r="O34" s="6">
        <v>300.89999999999998</v>
      </c>
      <c r="P34" s="6">
        <v>300.89999999999998</v>
      </c>
      <c r="Q34" s="6" t="s">
        <v>23</v>
      </c>
      <c r="R34" s="14">
        <f t="shared" si="7"/>
        <v>298.12222222222221</v>
      </c>
      <c r="S34" s="107"/>
      <c r="V34" s="68"/>
      <c r="W34" s="68"/>
      <c r="X34" s="68"/>
      <c r="Y34" s="46"/>
      <c r="Z34" s="46"/>
      <c r="AA34" s="46"/>
      <c r="AB34" s="47"/>
      <c r="AC34" s="47"/>
      <c r="AD34" s="47"/>
      <c r="AE34" s="47"/>
      <c r="AF34" s="48"/>
      <c r="AG34" s="48"/>
      <c r="AH34" s="48"/>
      <c r="AI34" s="47"/>
      <c r="AJ34" s="47"/>
      <c r="AK34" s="47"/>
      <c r="AL34" s="47"/>
      <c r="AM34" s="47"/>
      <c r="AN34" s="47"/>
      <c r="AP34" s="104"/>
    </row>
    <row r="35" spans="1:44" ht="15.95" hidden="1" customHeight="1" x14ac:dyDescent="0.25">
      <c r="A35" s="4">
        <f t="shared" si="2"/>
        <v>32</v>
      </c>
      <c r="B35" s="108" t="s">
        <v>73</v>
      </c>
      <c r="C35" s="75">
        <v>0.05</v>
      </c>
      <c r="D35" s="4">
        <v>18</v>
      </c>
      <c r="E35" s="6">
        <v>699</v>
      </c>
      <c r="F35" s="6">
        <v>629.72972972972968</v>
      </c>
      <c r="G35" s="6">
        <v>605.50935550935549</v>
      </c>
      <c r="H35" s="6">
        <f t="shared" si="4"/>
        <v>576.67557667557662</v>
      </c>
      <c r="I35" s="142"/>
      <c r="J35" s="6">
        <f>F35-(20/1)</f>
        <v>609.72972972972968</v>
      </c>
      <c r="K35" s="6">
        <f>G35-(20/1)</f>
        <v>585.50935550935549</v>
      </c>
      <c r="L35" s="6">
        <f t="shared" si="5"/>
        <v>557.62795762795758</v>
      </c>
      <c r="M35" s="6"/>
      <c r="N35" s="6">
        <f t="shared" si="6"/>
        <v>588.59444444444443</v>
      </c>
      <c r="O35" s="6">
        <v>594.15</v>
      </c>
      <c r="P35" s="6">
        <v>594.15</v>
      </c>
      <c r="Q35" s="6" t="s">
        <v>23</v>
      </c>
      <c r="R35" s="14">
        <f t="shared" si="7"/>
        <v>588.59444444444443</v>
      </c>
      <c r="S35" s="107"/>
      <c r="V35" s="68"/>
      <c r="W35" s="68"/>
      <c r="X35" s="68"/>
      <c r="AP35" s="104"/>
    </row>
    <row r="36" spans="1:44" ht="15.95" hidden="1" customHeight="1" x14ac:dyDescent="0.25">
      <c r="A36" s="4">
        <f t="shared" si="2"/>
        <v>33</v>
      </c>
      <c r="B36" s="5" t="s">
        <v>74</v>
      </c>
      <c r="C36" s="75">
        <v>0.05</v>
      </c>
      <c r="D36" s="4">
        <v>4</v>
      </c>
      <c r="E36" s="6">
        <v>3450</v>
      </c>
      <c r="F36" s="6">
        <v>3108.1081081081079</v>
      </c>
      <c r="G36" s="6">
        <v>2988.5654885654881</v>
      </c>
      <c r="H36" s="6">
        <f t="shared" si="4"/>
        <v>2846.2528462528458</v>
      </c>
      <c r="I36" s="142"/>
      <c r="J36" s="6">
        <f>F36-(20*5)</f>
        <v>3008.1081081081079</v>
      </c>
      <c r="K36" s="6">
        <f>G36-(20*5)</f>
        <v>2888.5654885654881</v>
      </c>
      <c r="L36" s="6">
        <f t="shared" si="5"/>
        <v>2751.0147510147503</v>
      </c>
      <c r="M36" s="6"/>
      <c r="N36" s="6">
        <f t="shared" si="6"/>
        <v>2907.5</v>
      </c>
      <c r="O36" s="6">
        <v>2932.5</v>
      </c>
      <c r="P36" s="6">
        <v>2932.5</v>
      </c>
      <c r="Q36" s="6" t="s">
        <v>23</v>
      </c>
      <c r="R36" s="14">
        <f t="shared" si="7"/>
        <v>2907.5</v>
      </c>
      <c r="S36" s="107"/>
      <c r="V36" s="68"/>
      <c r="W36" s="68"/>
      <c r="X36" s="68"/>
      <c r="AP36" s="104"/>
    </row>
    <row r="37" spans="1:44" ht="15.95" hidden="1" customHeight="1" x14ac:dyDescent="0.25">
      <c r="A37" s="4">
        <f t="shared" si="2"/>
        <v>34</v>
      </c>
      <c r="B37" s="5" t="s">
        <v>80</v>
      </c>
      <c r="C37" s="75">
        <v>0.05</v>
      </c>
      <c r="D37" s="4">
        <v>18</v>
      </c>
      <c r="E37" s="6">
        <v>685</v>
      </c>
      <c r="F37" s="6">
        <v>617.11711711711712</v>
      </c>
      <c r="G37" s="6">
        <v>593.3818433818434</v>
      </c>
      <c r="H37" s="6">
        <f t="shared" si="4"/>
        <v>565.12556512556512</v>
      </c>
      <c r="I37" s="142"/>
      <c r="J37" s="6">
        <f>F37-(20/1)</f>
        <v>597.11711711711712</v>
      </c>
      <c r="K37" s="6">
        <f>G37-(20/1)</f>
        <v>573.3818433818434</v>
      </c>
      <c r="L37" s="6">
        <f t="shared" si="5"/>
        <v>546.07794607794608</v>
      </c>
      <c r="M37" s="6">
        <v>555.66037735849056</v>
      </c>
      <c r="N37" s="6">
        <f t="shared" si="6"/>
        <v>576.69444444444446</v>
      </c>
      <c r="O37" s="6">
        <v>582.25</v>
      </c>
      <c r="P37" s="6">
        <v>582.25</v>
      </c>
      <c r="Q37" s="6" t="s">
        <v>23</v>
      </c>
      <c r="R37" s="14">
        <f t="shared" si="7"/>
        <v>576.69444444444446</v>
      </c>
      <c r="S37" s="107"/>
      <c r="V37" s="68"/>
      <c r="W37" s="68"/>
      <c r="X37" s="68"/>
    </row>
    <row r="38" spans="1:44" ht="15.95" hidden="1" customHeight="1" x14ac:dyDescent="0.25">
      <c r="A38" s="4">
        <f t="shared" si="2"/>
        <v>35</v>
      </c>
      <c r="B38" s="5" t="s">
        <v>100</v>
      </c>
      <c r="C38" s="75">
        <v>0.05</v>
      </c>
      <c r="D38" s="4">
        <v>18</v>
      </c>
      <c r="E38" s="6">
        <v>635</v>
      </c>
      <c r="F38" s="6">
        <v>572.07207207207205</v>
      </c>
      <c r="G38" s="6">
        <v>550.06930006929997</v>
      </c>
      <c r="H38" s="6">
        <f t="shared" si="4"/>
        <v>523.87552387552375</v>
      </c>
      <c r="I38" s="142"/>
      <c r="J38" s="6">
        <f>F38-(20/1.111)</f>
        <v>554.07027189205405</v>
      </c>
      <c r="K38" s="6">
        <f>G38-(20/1.111)</f>
        <v>532.06749988928198</v>
      </c>
      <c r="L38" s="6">
        <f t="shared" si="5"/>
        <v>506.73095227550664</v>
      </c>
      <c r="M38" s="6"/>
      <c r="N38" s="6">
        <f t="shared" si="6"/>
        <v>534.19444444444446</v>
      </c>
      <c r="O38" s="6">
        <v>539.75</v>
      </c>
      <c r="P38" s="6">
        <v>539.75</v>
      </c>
      <c r="Q38" s="6" t="s">
        <v>23</v>
      </c>
      <c r="R38" s="14">
        <f t="shared" si="7"/>
        <v>534.19444444444446</v>
      </c>
      <c r="S38" s="107"/>
      <c r="V38" s="68"/>
      <c r="W38" s="68"/>
      <c r="X38" s="68"/>
    </row>
    <row r="39" spans="1:44" ht="15.95" hidden="1" customHeight="1" x14ac:dyDescent="0.25">
      <c r="A39" s="4">
        <f t="shared" si="2"/>
        <v>36</v>
      </c>
      <c r="B39" s="5" t="s">
        <v>75</v>
      </c>
      <c r="C39" s="75">
        <v>0.05</v>
      </c>
      <c r="D39" s="4">
        <v>80</v>
      </c>
      <c r="E39" s="6">
        <v>155</v>
      </c>
      <c r="F39" s="6">
        <v>139.63963963963963</v>
      </c>
      <c r="G39" s="6">
        <v>134.26888426888425</v>
      </c>
      <c r="H39" s="6">
        <f t="shared" si="4"/>
        <v>127.87512787512784</v>
      </c>
      <c r="I39" s="142"/>
      <c r="J39" s="6">
        <f>F39-(20/5)</f>
        <v>135.63963963963963</v>
      </c>
      <c r="K39" s="6">
        <f>G39-(20/5)</f>
        <v>130.26888426888425</v>
      </c>
      <c r="L39" s="6">
        <f t="shared" si="5"/>
        <v>124.06560406560405</v>
      </c>
      <c r="M39" s="6"/>
      <c r="N39" s="6">
        <f>O39-(10/5)</f>
        <v>129.75</v>
      </c>
      <c r="O39" s="6">
        <v>131.75</v>
      </c>
      <c r="P39" s="6">
        <v>131.75</v>
      </c>
      <c r="Q39" s="6" t="s">
        <v>23</v>
      </c>
      <c r="R39" s="14">
        <f>O39-(200/D39)</f>
        <v>129.25</v>
      </c>
      <c r="S39" s="107"/>
      <c r="V39" s="68"/>
      <c r="W39" s="68"/>
      <c r="X39" s="68"/>
      <c r="AP39" s="104"/>
    </row>
    <row r="40" spans="1:44" ht="15.95" hidden="1" customHeight="1" x14ac:dyDescent="0.25">
      <c r="A40" s="4">
        <f t="shared" si="2"/>
        <v>37</v>
      </c>
      <c r="B40" s="5" t="s">
        <v>76</v>
      </c>
      <c r="C40" s="75">
        <v>0.05</v>
      </c>
      <c r="D40" s="4">
        <v>36</v>
      </c>
      <c r="E40" s="6">
        <v>369</v>
      </c>
      <c r="F40" s="6">
        <v>332.43243243243239</v>
      </c>
      <c r="G40" s="6">
        <v>319.64656964656962</v>
      </c>
      <c r="H40" s="6">
        <f t="shared" si="4"/>
        <v>304.42530442530438</v>
      </c>
      <c r="I40" s="142"/>
      <c r="J40" s="6">
        <f>F40-(20/2)</f>
        <v>322.43243243243239</v>
      </c>
      <c r="K40" s="6">
        <f>G40-(20/2)</f>
        <v>309.64656964656962</v>
      </c>
      <c r="L40" s="6">
        <f t="shared" si="5"/>
        <v>294.90149490149486</v>
      </c>
      <c r="M40" s="6"/>
      <c r="N40" s="6">
        <f>O40-(10/2)</f>
        <v>308.64999999999998</v>
      </c>
      <c r="O40" s="6">
        <v>313.64999999999998</v>
      </c>
      <c r="P40" s="6">
        <v>313.64999999999998</v>
      </c>
      <c r="Q40" s="6" t="s">
        <v>23</v>
      </c>
      <c r="R40" s="14">
        <f>O40-(200/D40)</f>
        <v>308.09444444444443</v>
      </c>
      <c r="S40" s="107"/>
      <c r="V40" s="68"/>
      <c r="W40" s="68"/>
      <c r="X40" s="68"/>
      <c r="AP40" s="104"/>
    </row>
    <row r="41" spans="1:44" ht="15.95" hidden="1" customHeight="1" x14ac:dyDescent="0.25">
      <c r="A41" s="4">
        <f t="shared" si="2"/>
        <v>38</v>
      </c>
      <c r="B41" s="5" t="s">
        <v>77</v>
      </c>
      <c r="C41" s="75">
        <v>0.05</v>
      </c>
      <c r="D41" s="4">
        <v>18</v>
      </c>
      <c r="E41" s="6">
        <v>729</v>
      </c>
      <c r="F41" s="6">
        <v>656.75675675675666</v>
      </c>
      <c r="G41" s="6">
        <v>631.49688149688143</v>
      </c>
      <c r="H41" s="6">
        <f t="shared" si="4"/>
        <v>601.42560142560137</v>
      </c>
      <c r="I41" s="142"/>
      <c r="J41" s="6">
        <f>F41-(20/1)</f>
        <v>636.75675675675666</v>
      </c>
      <c r="K41" s="6">
        <f>G41-(20/1)</f>
        <v>611.49688149688143</v>
      </c>
      <c r="L41" s="6">
        <f t="shared" si="5"/>
        <v>582.37798237798233</v>
      </c>
      <c r="M41" s="6"/>
      <c r="N41" s="6">
        <f>O41-(10/1)</f>
        <v>609.65</v>
      </c>
      <c r="O41" s="6">
        <v>619.65</v>
      </c>
      <c r="P41" s="6">
        <v>619.65</v>
      </c>
      <c r="Q41" s="6" t="s">
        <v>23</v>
      </c>
      <c r="R41" s="14">
        <f>O41-(200/D41)</f>
        <v>608.53888888888889</v>
      </c>
      <c r="S41" s="107"/>
      <c r="V41" s="68"/>
      <c r="W41" s="68"/>
      <c r="X41" s="68"/>
      <c r="AP41" s="104"/>
    </row>
    <row r="42" spans="1:44" ht="15.95" hidden="1" customHeight="1" x14ac:dyDescent="0.25">
      <c r="A42" s="4">
        <f t="shared" si="2"/>
        <v>39</v>
      </c>
      <c r="B42" s="78" t="s">
        <v>78</v>
      </c>
      <c r="C42" s="75">
        <v>0.05</v>
      </c>
      <c r="D42" s="4">
        <v>18</v>
      </c>
      <c r="E42" s="6">
        <v>715</v>
      </c>
      <c r="F42" s="6">
        <v>644.14414414414409</v>
      </c>
      <c r="G42" s="6">
        <v>619.36936936936934</v>
      </c>
      <c r="H42" s="6">
        <f t="shared" si="4"/>
        <v>589.87558987558987</v>
      </c>
      <c r="I42" s="142"/>
      <c r="J42" s="6">
        <f>F42-(20/1)</f>
        <v>624.14414414414409</v>
      </c>
      <c r="K42" s="6">
        <f>G42-(20/1)</f>
        <v>599.36936936936934</v>
      </c>
      <c r="L42" s="6">
        <f t="shared" si="5"/>
        <v>570.82797082797083</v>
      </c>
      <c r="M42" s="6">
        <v>580.18867924528297</v>
      </c>
      <c r="N42" s="6">
        <f>O42-(10/1)</f>
        <v>597.75</v>
      </c>
      <c r="O42" s="6">
        <v>607.75</v>
      </c>
      <c r="P42" s="6">
        <v>607.75</v>
      </c>
      <c r="Q42" s="6" t="s">
        <v>23</v>
      </c>
      <c r="R42" s="14">
        <f>O42-(200/D42)</f>
        <v>596.63888888888891</v>
      </c>
      <c r="S42" s="107"/>
      <c r="V42" s="68"/>
      <c r="W42" s="68"/>
      <c r="X42" s="68"/>
      <c r="AP42" s="104"/>
    </row>
    <row r="43" spans="1:44" ht="15.95" hidden="1" customHeight="1" x14ac:dyDescent="0.25">
      <c r="A43" s="4">
        <f t="shared" si="2"/>
        <v>40</v>
      </c>
      <c r="B43" s="78" t="s">
        <v>227</v>
      </c>
      <c r="C43" s="75">
        <v>0.05</v>
      </c>
      <c r="D43" s="4">
        <v>18</v>
      </c>
      <c r="E43" s="6">
        <v>665</v>
      </c>
      <c r="F43" s="6">
        <v>599.09909909909902</v>
      </c>
      <c r="G43" s="6">
        <v>576.05682605682591</v>
      </c>
      <c r="H43" s="6">
        <f t="shared" si="4"/>
        <v>548.6255486255485</v>
      </c>
      <c r="I43" s="143"/>
      <c r="J43" s="6">
        <f>F43-(20/1.111)</f>
        <v>581.09729891908103</v>
      </c>
      <c r="K43" s="6">
        <f>G43-(20/1.111)</f>
        <v>558.05502587680792</v>
      </c>
      <c r="L43" s="6">
        <f t="shared" si="5"/>
        <v>531.48097702553127</v>
      </c>
      <c r="M43" s="6"/>
      <c r="N43" s="6">
        <f>O43-(10/1.111)</f>
        <v>556.24909990999095</v>
      </c>
      <c r="O43" s="6">
        <v>565.25</v>
      </c>
      <c r="P43" s="6">
        <v>565.25</v>
      </c>
      <c r="Q43" s="6" t="s">
        <v>23</v>
      </c>
      <c r="R43" s="14">
        <f>O43-(200/D43)</f>
        <v>554.13888888888891</v>
      </c>
      <c r="S43" s="107"/>
      <c r="V43" s="68"/>
      <c r="W43" s="68"/>
      <c r="X43" s="68"/>
      <c r="AP43" s="104"/>
    </row>
    <row r="44" spans="1:44" ht="15.95" hidden="1" customHeight="1" x14ac:dyDescent="0.25">
      <c r="A44" s="4">
        <f t="shared" si="2"/>
        <v>41</v>
      </c>
      <c r="B44" s="78" t="s">
        <v>223</v>
      </c>
      <c r="C44" s="75">
        <v>0.05</v>
      </c>
      <c r="D44" s="4" t="s">
        <v>224</v>
      </c>
      <c r="E44" s="6">
        <v>20</v>
      </c>
      <c r="F44" s="6" t="s">
        <v>23</v>
      </c>
      <c r="G44" s="6">
        <v>750</v>
      </c>
      <c r="H44" s="6">
        <f t="shared" si="4"/>
        <v>714.28571428571422</v>
      </c>
      <c r="I44" s="105" t="s">
        <v>225</v>
      </c>
      <c r="J44" s="13"/>
      <c r="K44" s="6">
        <f>G44-100</f>
        <v>650</v>
      </c>
      <c r="L44" s="6">
        <f t="shared" si="5"/>
        <v>619.04761904761904</v>
      </c>
      <c r="M44" s="6" t="s">
        <v>23</v>
      </c>
      <c r="N44" s="6" t="s">
        <v>23</v>
      </c>
      <c r="O44" s="6" t="s">
        <v>23</v>
      </c>
      <c r="P44" s="6" t="s">
        <v>23</v>
      </c>
      <c r="Q44" s="6" t="s">
        <v>23</v>
      </c>
      <c r="R44" s="6"/>
      <c r="V44" s="68"/>
      <c r="W44" s="68"/>
      <c r="X44" s="68"/>
      <c r="AP44" s="33">
        <v>1055</v>
      </c>
      <c r="AQ44" s="33" t="e">
        <f>VLOOKUP(AP44,'[1]Product Master'!$F$1:$L$57,7,0)</f>
        <v>#N/A</v>
      </c>
      <c r="AR44" s="33" t="e">
        <f t="shared" ref="AR44:AR49" si="8">IF(E44=AQ44,"true","false")</f>
        <v>#N/A</v>
      </c>
    </row>
    <row r="45" spans="1:44" ht="15.95" customHeight="1" x14ac:dyDescent="0.25">
      <c r="A45" s="4">
        <f t="shared" si="2"/>
        <v>42</v>
      </c>
      <c r="B45" s="5" t="s">
        <v>230</v>
      </c>
      <c r="C45" s="4" t="s">
        <v>23</v>
      </c>
      <c r="D45" s="4">
        <v>30</v>
      </c>
      <c r="E45" s="6">
        <v>10</v>
      </c>
      <c r="F45" s="6">
        <v>8.8495575221238951</v>
      </c>
      <c r="G45" s="6">
        <f>225/30</f>
        <v>7.5</v>
      </c>
      <c r="H45" s="6">
        <f>G45</f>
        <v>7.5</v>
      </c>
      <c r="I45" s="4"/>
      <c r="J45" s="7" t="s">
        <v>23</v>
      </c>
      <c r="K45" s="7" t="s">
        <v>23</v>
      </c>
      <c r="L45" s="6" t="str">
        <f>K45</f>
        <v>-</v>
      </c>
      <c r="M45" s="7" t="s">
        <v>23</v>
      </c>
      <c r="N45" s="7" t="s">
        <v>23</v>
      </c>
      <c r="O45" s="7" t="s">
        <v>23</v>
      </c>
      <c r="P45" s="7">
        <f>255/30</f>
        <v>8.5</v>
      </c>
      <c r="Q45" s="6" t="s">
        <v>23</v>
      </c>
      <c r="R45" s="7"/>
      <c r="V45" s="68"/>
      <c r="W45" s="68"/>
      <c r="X45" s="68"/>
      <c r="AP45" s="33">
        <v>1042</v>
      </c>
      <c r="AQ45" s="33">
        <f>VLOOKUP(AP45,'[1]Product Master'!$F$1:$L$57,7,0)</f>
        <v>10</v>
      </c>
      <c r="AR45" s="33" t="str">
        <f t="shared" si="8"/>
        <v>true</v>
      </c>
    </row>
    <row r="46" spans="1:44" ht="15.95" hidden="1" customHeight="1" x14ac:dyDescent="0.25">
      <c r="A46" s="4">
        <f t="shared" si="2"/>
        <v>43</v>
      </c>
      <c r="B46" s="5" t="s">
        <v>85</v>
      </c>
      <c r="C46" s="4" t="s">
        <v>23</v>
      </c>
      <c r="D46" s="4">
        <v>24</v>
      </c>
      <c r="E46" s="6">
        <v>30</v>
      </c>
      <c r="F46" s="6">
        <v>26.548672566371685</v>
      </c>
      <c r="G46" s="6">
        <v>25.527569775357389</v>
      </c>
      <c r="H46" s="6">
        <f t="shared" ref="H46:H49" si="9">G46</f>
        <v>25.527569775357389</v>
      </c>
      <c r="I46" s="4"/>
      <c r="J46" s="7" t="s">
        <v>23</v>
      </c>
      <c r="K46" s="7" t="s">
        <v>23</v>
      </c>
      <c r="L46" s="6" t="str">
        <f t="shared" ref="L46:L49" si="10">K46</f>
        <v>-</v>
      </c>
      <c r="M46" s="7" t="s">
        <v>23</v>
      </c>
      <c r="N46" s="7" t="s">
        <v>23</v>
      </c>
      <c r="O46" s="7" t="s">
        <v>23</v>
      </c>
      <c r="P46" s="7" t="s">
        <v>23</v>
      </c>
      <c r="Q46" s="6" t="s">
        <v>23</v>
      </c>
      <c r="R46" s="7"/>
      <c r="V46" s="68"/>
      <c r="W46" s="68"/>
      <c r="X46" s="68"/>
      <c r="AP46" s="33">
        <v>1045</v>
      </c>
      <c r="AQ46" s="33">
        <f>VLOOKUP(AP46,'[1]Product Master'!$F$1:$L$57,7,0)</f>
        <v>30</v>
      </c>
      <c r="AR46" s="33" t="str">
        <f t="shared" si="8"/>
        <v>true</v>
      </c>
    </row>
    <row r="47" spans="1:44" ht="15.95" hidden="1" customHeight="1" x14ac:dyDescent="0.25">
      <c r="A47" s="4">
        <f t="shared" si="2"/>
        <v>44</v>
      </c>
      <c r="B47" s="5" t="s">
        <v>83</v>
      </c>
      <c r="C47" s="4" t="s">
        <v>23</v>
      </c>
      <c r="D47" s="4">
        <v>12</v>
      </c>
      <c r="E47" s="6">
        <v>71</v>
      </c>
      <c r="F47" s="6">
        <v>62.83185840707965</v>
      </c>
      <c r="G47" s="6">
        <v>60.415248468345816</v>
      </c>
      <c r="H47" s="6">
        <f t="shared" si="9"/>
        <v>60.415248468345816</v>
      </c>
      <c r="I47" s="7"/>
      <c r="J47" s="7" t="s">
        <v>23</v>
      </c>
      <c r="K47" s="7" t="s">
        <v>23</v>
      </c>
      <c r="L47" s="6" t="str">
        <f t="shared" si="10"/>
        <v>-</v>
      </c>
      <c r="M47" s="7" t="s">
        <v>23</v>
      </c>
      <c r="N47" s="7" t="s">
        <v>23</v>
      </c>
      <c r="O47" s="7" t="s">
        <v>23</v>
      </c>
      <c r="P47" s="7" t="s">
        <v>23</v>
      </c>
      <c r="Q47" s="6" t="s">
        <v>23</v>
      </c>
      <c r="R47" s="7"/>
      <c r="V47" s="68"/>
      <c r="W47" s="68"/>
      <c r="X47" s="68"/>
      <c r="AP47" s="33">
        <v>1051</v>
      </c>
      <c r="AQ47" s="33">
        <f>VLOOKUP(AP47,'[1]Product Master'!$F$1:$L$57,7,0)</f>
        <v>71</v>
      </c>
      <c r="AR47" s="33" t="str">
        <f t="shared" si="8"/>
        <v>true</v>
      </c>
    </row>
    <row r="48" spans="1:44" ht="15.95" hidden="1" customHeight="1" x14ac:dyDescent="0.25">
      <c r="A48" s="4">
        <f t="shared" si="2"/>
        <v>45</v>
      </c>
      <c r="B48" s="5" t="s">
        <v>81</v>
      </c>
      <c r="C48" s="4" t="s">
        <v>23</v>
      </c>
      <c r="D48" s="4">
        <v>12</v>
      </c>
      <c r="E48" s="6">
        <v>76</v>
      </c>
      <c r="F48" s="6">
        <v>67.256637168141594</v>
      </c>
      <c r="G48" s="6">
        <v>64.669843430905374</v>
      </c>
      <c r="H48" s="6">
        <f t="shared" si="9"/>
        <v>64.669843430905374</v>
      </c>
      <c r="I48" s="7"/>
      <c r="J48" s="7" t="s">
        <v>23</v>
      </c>
      <c r="K48" s="7" t="s">
        <v>23</v>
      </c>
      <c r="L48" s="6" t="str">
        <f t="shared" si="10"/>
        <v>-</v>
      </c>
      <c r="M48" s="7" t="s">
        <v>23</v>
      </c>
      <c r="N48" s="7" t="s">
        <v>23</v>
      </c>
      <c r="O48" s="7" t="s">
        <v>23</v>
      </c>
      <c r="P48" s="7" t="s">
        <v>23</v>
      </c>
      <c r="Q48" s="6" t="s">
        <v>23</v>
      </c>
      <c r="R48" s="7"/>
      <c r="S48" s="76"/>
      <c r="V48" s="68"/>
      <c r="W48" s="68"/>
      <c r="X48" s="68"/>
      <c r="AP48" s="33">
        <v>1050</v>
      </c>
      <c r="AQ48" s="33">
        <f>VLOOKUP(AP48,'[1]Product Master'!$F$1:$L$57,7,0)</f>
        <v>76</v>
      </c>
      <c r="AR48" s="33" t="str">
        <f t="shared" si="8"/>
        <v>true</v>
      </c>
    </row>
    <row r="49" spans="1:44" ht="15.95" customHeight="1" x14ac:dyDescent="0.25">
      <c r="A49" s="4">
        <f t="shared" si="2"/>
        <v>46</v>
      </c>
      <c r="B49" s="5" t="s">
        <v>221</v>
      </c>
      <c r="C49" s="4" t="s">
        <v>23</v>
      </c>
      <c r="D49" s="4">
        <v>12</v>
      </c>
      <c r="E49" s="6">
        <v>85</v>
      </c>
      <c r="F49" s="6"/>
      <c r="G49" s="6">
        <v>73</v>
      </c>
      <c r="H49" s="6">
        <f t="shared" si="9"/>
        <v>73</v>
      </c>
      <c r="I49" s="7"/>
      <c r="J49" s="7" t="s">
        <v>23</v>
      </c>
      <c r="K49" s="7" t="s">
        <v>23</v>
      </c>
      <c r="L49" s="6" t="str">
        <f t="shared" si="10"/>
        <v>-</v>
      </c>
      <c r="M49" s="7" t="s">
        <v>23</v>
      </c>
      <c r="N49" s="7" t="s">
        <v>23</v>
      </c>
      <c r="O49" s="7" t="s">
        <v>23</v>
      </c>
      <c r="P49" s="7">
        <v>78</v>
      </c>
      <c r="Q49" s="6" t="s">
        <v>23</v>
      </c>
      <c r="R49" s="7"/>
      <c r="S49" s="76"/>
      <c r="V49" s="68"/>
      <c r="W49" s="68"/>
      <c r="X49" s="68"/>
      <c r="AP49" s="33">
        <v>0</v>
      </c>
      <c r="AQ49" s="33" t="e">
        <f>VLOOKUP(AP49,'[1]Product Master'!$F$1:$L$57,7,0)</f>
        <v>#N/A</v>
      </c>
      <c r="AR49" s="33" t="e">
        <f t="shared" si="8"/>
        <v>#N/A</v>
      </c>
    </row>
    <row r="51" spans="1:44" ht="15" customHeight="1" x14ac:dyDescent="0.25">
      <c r="G51" s="106"/>
      <c r="H51" s="106"/>
    </row>
  </sheetData>
  <mergeCells count="7">
    <mergeCell ref="I33:I43"/>
    <mergeCell ref="AI1:AK1"/>
    <mergeCell ref="AL1:AN1"/>
    <mergeCell ref="AB1:AD1"/>
    <mergeCell ref="AF1:AH1"/>
    <mergeCell ref="V1:X1"/>
    <mergeCell ref="Y1:AA1"/>
  </mergeCells>
  <conditionalFormatting sqref="AR4:AR49">
    <cfRule type="cellIs" dxfId="0" priority="1" operator="equal">
      <formula>$AR$43</formula>
    </cfRule>
  </conditionalFormatting>
  <printOptions horizontalCentered="1"/>
  <pageMargins left="0.23622047244094488" right="0.23622047244094488" top="0.74803149606299213" bottom="0.74803149606299213" header="0.31496062992125984" footer="0.31496062992125984"/>
  <pageSetup paperSize="9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25D0-E5A5-4FD6-886D-BC1C0AC2A4FD}">
  <sheetPr>
    <pageSetUpPr fitToPage="1"/>
  </sheetPr>
  <dimension ref="A1:BH48"/>
  <sheetViews>
    <sheetView tabSelected="1" workbookViewId="0">
      <pane xSplit="8" ySplit="2" topLeftCell="I3" activePane="bottomRight" state="frozen"/>
      <selection pane="topRight" activeCell="E1" sqref="E1"/>
      <selection pane="bottomLeft" activeCell="A4" sqref="A4"/>
      <selection pane="bottomRight" activeCell="R3" sqref="R3"/>
    </sheetView>
  </sheetViews>
  <sheetFormatPr defaultColWidth="9.140625" defaultRowHeight="15" customHeight="1" x14ac:dyDescent="0.25"/>
  <cols>
    <col min="1" max="1" width="5.85546875" style="33" bestFit="1" customWidth="1"/>
    <col min="2" max="2" width="18.42578125" style="33" hidden="1" customWidth="1"/>
    <col min="3" max="3" width="36.140625" style="33" bestFit="1" customWidth="1"/>
    <col min="4" max="4" width="6.5703125" style="33" customWidth="1"/>
    <col min="5" max="5" width="10.140625" style="33" customWidth="1"/>
    <col min="6" max="7" width="10.42578125" style="33" customWidth="1"/>
    <col min="8" max="8" width="10" style="33" customWidth="1"/>
    <col min="9" max="9" width="22.140625" style="33" customWidth="1"/>
    <col min="10" max="12" width="7.5703125" style="33" customWidth="1"/>
    <col min="13" max="13" width="8.7109375" style="33" customWidth="1"/>
    <col min="14" max="14" width="9.7109375" style="33" customWidth="1"/>
    <col min="15" max="15" width="20.7109375" style="33" customWidth="1"/>
    <col min="16" max="16" width="9.42578125" style="33" customWidth="1"/>
    <col min="17" max="17" width="9.85546875" style="33" customWidth="1"/>
    <col min="18" max="22" width="10.85546875" style="33" customWidth="1"/>
    <col min="23" max="50" width="10.7109375" style="33" customWidth="1"/>
    <col min="51" max="58" width="10.7109375" style="33" hidden="1" customWidth="1"/>
    <col min="59" max="59" width="10.7109375" style="33" customWidth="1"/>
    <col min="60" max="16384" width="9.140625" style="33"/>
  </cols>
  <sheetData>
    <row r="1" spans="1:60" ht="20.100000000000001" customHeight="1" x14ac:dyDescent="0.25">
      <c r="C1" s="79" t="s">
        <v>283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148" t="s">
        <v>346</v>
      </c>
      <c r="Q1" s="148"/>
      <c r="R1" s="148"/>
      <c r="S1" s="129" t="s">
        <v>346</v>
      </c>
      <c r="T1" s="148" t="s">
        <v>352</v>
      </c>
      <c r="U1" s="148"/>
      <c r="V1" s="129" t="s">
        <v>9</v>
      </c>
      <c r="W1" s="148" t="s">
        <v>347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7" t="s">
        <v>9</v>
      </c>
      <c r="BH1" s="147"/>
    </row>
    <row r="2" spans="1:60" s="132" customFormat="1" ht="46.5" customHeight="1" x14ac:dyDescent="0.25">
      <c r="A2" s="133" t="s">
        <v>4</v>
      </c>
      <c r="B2" s="133" t="s">
        <v>236</v>
      </c>
      <c r="C2" s="133" t="s">
        <v>5</v>
      </c>
      <c r="D2" s="133" t="s">
        <v>90</v>
      </c>
      <c r="E2" s="133" t="s">
        <v>6</v>
      </c>
      <c r="F2" s="133" t="s">
        <v>7</v>
      </c>
      <c r="G2" s="133" t="s">
        <v>8</v>
      </c>
      <c r="H2" s="133" t="s">
        <v>351</v>
      </c>
      <c r="I2" s="134" t="s">
        <v>154</v>
      </c>
      <c r="J2" s="135" t="s">
        <v>339</v>
      </c>
      <c r="K2" s="135" t="s">
        <v>340</v>
      </c>
      <c r="L2" s="135" t="s">
        <v>341</v>
      </c>
      <c r="M2" s="135" t="s">
        <v>235</v>
      </c>
      <c r="N2" s="135" t="s">
        <v>342</v>
      </c>
      <c r="O2" s="135" t="s">
        <v>344</v>
      </c>
      <c r="P2" s="135" t="s">
        <v>335</v>
      </c>
      <c r="Q2" s="135" t="s">
        <v>337</v>
      </c>
      <c r="R2" s="135" t="s">
        <v>338</v>
      </c>
      <c r="S2" s="135" t="s">
        <v>345</v>
      </c>
      <c r="T2" s="135" t="s">
        <v>309</v>
      </c>
      <c r="U2" s="135" t="s">
        <v>311</v>
      </c>
      <c r="V2" s="135" t="s">
        <v>353</v>
      </c>
      <c r="W2" s="120" t="s">
        <v>257</v>
      </c>
      <c r="X2" s="120" t="s">
        <v>323</v>
      </c>
      <c r="Y2" s="120" t="s">
        <v>324</v>
      </c>
      <c r="Z2" s="120" t="s">
        <v>325</v>
      </c>
      <c r="AA2" s="120" t="s">
        <v>259</v>
      </c>
      <c r="AB2" s="120" t="s">
        <v>300</v>
      </c>
      <c r="AC2" s="120" t="s">
        <v>298</v>
      </c>
      <c r="AD2" s="120" t="s">
        <v>326</v>
      </c>
      <c r="AE2" s="120" t="s">
        <v>296</v>
      </c>
      <c r="AF2" s="120" t="s">
        <v>305</v>
      </c>
      <c r="AG2" s="120" t="s">
        <v>252</v>
      </c>
      <c r="AH2" s="120" t="s">
        <v>301</v>
      </c>
      <c r="AI2" s="120" t="s">
        <v>302</v>
      </c>
      <c r="AJ2" s="120" t="s">
        <v>260</v>
      </c>
      <c r="AK2" s="120" t="s">
        <v>251</v>
      </c>
      <c r="AL2" s="120" t="s">
        <v>299</v>
      </c>
      <c r="AM2" s="120" t="s">
        <v>270</v>
      </c>
      <c r="AN2" s="120" t="s">
        <v>328</v>
      </c>
      <c r="AO2" s="120" t="s">
        <v>297</v>
      </c>
      <c r="AP2" s="120" t="s">
        <v>329</v>
      </c>
      <c r="AQ2" s="120" t="s">
        <v>303</v>
      </c>
      <c r="AR2" s="120" t="s">
        <v>307</v>
      </c>
      <c r="AS2" s="120" t="s">
        <v>304</v>
      </c>
      <c r="AT2" s="120" t="s">
        <v>294</v>
      </c>
      <c r="AU2" s="120" t="s">
        <v>330</v>
      </c>
      <c r="AV2" s="120" t="s">
        <v>315</v>
      </c>
      <c r="AW2" s="120" t="s">
        <v>331</v>
      </c>
      <c r="AX2" s="120" t="s">
        <v>254</v>
      </c>
      <c r="AY2" s="135" t="s">
        <v>332</v>
      </c>
      <c r="AZ2" s="135" t="s">
        <v>256</v>
      </c>
      <c r="BA2" s="135" t="s">
        <v>333</v>
      </c>
      <c r="BB2" s="135" t="s">
        <v>253</v>
      </c>
      <c r="BC2" s="135" t="s">
        <v>334</v>
      </c>
      <c r="BD2" s="135" t="s">
        <v>258</v>
      </c>
      <c r="BE2" s="135" t="s">
        <v>255</v>
      </c>
      <c r="BF2" s="135" t="s">
        <v>327</v>
      </c>
      <c r="BG2" s="135" t="s">
        <v>288</v>
      </c>
      <c r="BH2" s="135" t="s">
        <v>343</v>
      </c>
    </row>
    <row r="3" spans="1:60" ht="15.95" customHeight="1" x14ac:dyDescent="0.25">
      <c r="A3" s="4">
        <v>1</v>
      </c>
      <c r="B3" s="110" t="s">
        <v>237</v>
      </c>
      <c r="C3" s="5" t="s">
        <v>25</v>
      </c>
      <c r="D3" s="4" t="s">
        <v>23</v>
      </c>
      <c r="E3" s="4">
        <v>24</v>
      </c>
      <c r="F3" s="6">
        <v>30</v>
      </c>
      <c r="G3" s="6">
        <v>28.4</v>
      </c>
      <c r="H3" s="6">
        <v>27.75</v>
      </c>
      <c r="I3" s="4" t="s">
        <v>247</v>
      </c>
      <c r="J3" s="6">
        <v>28.1</v>
      </c>
      <c r="K3" s="6">
        <v>28.1</v>
      </c>
      <c r="L3" s="6">
        <v>26</v>
      </c>
      <c r="M3" s="6">
        <v>28.1</v>
      </c>
      <c r="N3" s="6">
        <f t="shared" ref="N3:N4" si="0">G3</f>
        <v>28.4</v>
      </c>
      <c r="O3" s="6" t="s">
        <v>313</v>
      </c>
      <c r="P3" s="128">
        <v>26.16</v>
      </c>
      <c r="Q3" s="6">
        <v>27.75</v>
      </c>
      <c r="R3" s="6">
        <v>27.75</v>
      </c>
      <c r="S3" s="6">
        <v>27.75</v>
      </c>
      <c r="T3" s="6"/>
      <c r="U3" s="6"/>
      <c r="V3" s="6">
        <v>27.75</v>
      </c>
      <c r="W3" s="6">
        <v>27.75</v>
      </c>
      <c r="X3" s="6">
        <v>27.75</v>
      </c>
      <c r="Y3" s="6">
        <v>27.75</v>
      </c>
      <c r="Z3" s="128">
        <v>28</v>
      </c>
      <c r="AA3" s="128">
        <v>28</v>
      </c>
      <c r="AB3" s="128">
        <v>28</v>
      </c>
      <c r="AC3" s="6">
        <v>27.75</v>
      </c>
      <c r="AD3" s="6">
        <v>28.5</v>
      </c>
      <c r="AE3" s="6">
        <v>27.75</v>
      </c>
      <c r="AF3" s="128">
        <v>28</v>
      </c>
      <c r="AG3" s="128">
        <v>28</v>
      </c>
      <c r="AH3" s="6">
        <v>27.75</v>
      </c>
      <c r="AI3" s="6">
        <v>27.75</v>
      </c>
      <c r="AJ3" s="128">
        <v>28</v>
      </c>
      <c r="AK3" s="128">
        <v>28</v>
      </c>
      <c r="AL3" s="6">
        <v>27.75</v>
      </c>
      <c r="AM3" s="128">
        <v>28</v>
      </c>
      <c r="AN3" s="128">
        <v>28</v>
      </c>
      <c r="AO3" s="128">
        <v>28</v>
      </c>
      <c r="AP3" s="128">
        <v>28.5</v>
      </c>
      <c r="AQ3" s="128">
        <v>28.5</v>
      </c>
      <c r="AR3" s="6">
        <v>27.75</v>
      </c>
      <c r="AS3" s="128">
        <v>28.5</v>
      </c>
      <c r="AT3" s="6">
        <v>27.75</v>
      </c>
      <c r="AU3" s="6">
        <v>27.75</v>
      </c>
      <c r="AV3" s="6">
        <v>27.75</v>
      </c>
      <c r="AW3" s="6">
        <v>27.75</v>
      </c>
      <c r="AX3" s="128">
        <v>27.5</v>
      </c>
      <c r="AY3" s="6"/>
      <c r="AZ3" s="6"/>
      <c r="BA3" s="6"/>
      <c r="BB3" s="6"/>
      <c r="BC3" s="6"/>
      <c r="BD3" s="6"/>
      <c r="BE3" s="6"/>
      <c r="BF3" s="6"/>
      <c r="BG3" s="6">
        <v>27.75</v>
      </c>
      <c r="BH3" s="6">
        <v>27.75</v>
      </c>
    </row>
    <row r="4" spans="1:60" ht="15.95" customHeight="1" x14ac:dyDescent="0.25">
      <c r="A4" s="4">
        <f>A3+1</f>
        <v>2</v>
      </c>
      <c r="B4" s="110" t="s">
        <v>237</v>
      </c>
      <c r="C4" s="5" t="s">
        <v>28</v>
      </c>
      <c r="D4" s="4" t="s">
        <v>23</v>
      </c>
      <c r="E4" s="4">
        <v>24</v>
      </c>
      <c r="F4" s="6">
        <v>30</v>
      </c>
      <c r="G4" s="6">
        <v>28.4</v>
      </c>
      <c r="H4" s="6">
        <v>27.75</v>
      </c>
      <c r="I4" s="4" t="s">
        <v>23</v>
      </c>
      <c r="J4" s="6">
        <v>28.1</v>
      </c>
      <c r="K4" s="6">
        <v>28.1</v>
      </c>
      <c r="L4" s="6">
        <v>26</v>
      </c>
      <c r="M4" s="6">
        <v>28.1</v>
      </c>
      <c r="N4" s="6">
        <f t="shared" si="0"/>
        <v>28.4</v>
      </c>
      <c r="O4" s="6" t="s">
        <v>313</v>
      </c>
      <c r="P4" s="6">
        <v>27.75</v>
      </c>
      <c r="Q4" s="6">
        <v>27.75</v>
      </c>
      <c r="R4" s="6">
        <v>27.75</v>
      </c>
      <c r="S4" s="6">
        <v>27.75</v>
      </c>
      <c r="T4" s="6"/>
      <c r="U4" s="6"/>
      <c r="V4" s="6">
        <v>27.75</v>
      </c>
      <c r="W4" s="6">
        <v>27.75</v>
      </c>
      <c r="X4" s="6">
        <v>27.75</v>
      </c>
      <c r="Y4" s="6">
        <v>27.75</v>
      </c>
      <c r="Z4" s="6">
        <v>27.75</v>
      </c>
      <c r="AA4" s="6">
        <v>27.75</v>
      </c>
      <c r="AB4" s="6">
        <v>27.75</v>
      </c>
      <c r="AC4" s="6">
        <v>27.75</v>
      </c>
      <c r="AD4" s="6">
        <v>27.75</v>
      </c>
      <c r="AE4" s="6">
        <v>27.75</v>
      </c>
      <c r="AF4" s="128">
        <v>28</v>
      </c>
      <c r="AG4" s="128">
        <v>28</v>
      </c>
      <c r="AH4" s="6">
        <v>27.75</v>
      </c>
      <c r="AI4" s="6">
        <v>27.75</v>
      </c>
      <c r="AJ4" s="6">
        <v>27.75</v>
      </c>
      <c r="AK4" s="128">
        <v>28</v>
      </c>
      <c r="AL4" s="6">
        <v>27.75</v>
      </c>
      <c r="AM4" s="128">
        <v>28</v>
      </c>
      <c r="AN4" s="6">
        <v>27.75</v>
      </c>
      <c r="AO4" s="6">
        <v>27.75</v>
      </c>
      <c r="AP4" s="6">
        <v>27.75</v>
      </c>
      <c r="AQ4" s="128">
        <v>28.5</v>
      </c>
      <c r="AR4" s="6">
        <v>27.75</v>
      </c>
      <c r="AS4" s="6">
        <v>27.75</v>
      </c>
      <c r="AT4" s="6">
        <v>27.75</v>
      </c>
      <c r="AU4" s="6">
        <v>27.75</v>
      </c>
      <c r="AV4" s="6">
        <v>27.75</v>
      </c>
      <c r="AW4" s="6">
        <v>27.75</v>
      </c>
      <c r="AX4" s="6">
        <v>27.75</v>
      </c>
      <c r="AY4" s="6"/>
      <c r="AZ4" s="6"/>
      <c r="BA4" s="6"/>
      <c r="BB4" s="6"/>
      <c r="BC4" s="6"/>
      <c r="BD4" s="6"/>
      <c r="BE4" s="6"/>
      <c r="BF4" s="6"/>
      <c r="BG4" s="6">
        <v>27.75</v>
      </c>
      <c r="BH4" s="6">
        <v>27.75</v>
      </c>
    </row>
    <row r="5" spans="1:60" ht="15.95" customHeight="1" x14ac:dyDescent="0.25">
      <c r="A5" s="4">
        <f t="shared" ref="A5:A47" si="1">A4+1</f>
        <v>3</v>
      </c>
      <c r="B5" s="110" t="s">
        <v>238</v>
      </c>
      <c r="C5" s="5" t="s">
        <v>98</v>
      </c>
      <c r="D5" s="75">
        <v>0.05</v>
      </c>
      <c r="E5" s="4">
        <v>12</v>
      </c>
      <c r="F5" s="6">
        <v>20</v>
      </c>
      <c r="G5" s="6">
        <v>16.501650165016503</v>
      </c>
      <c r="H5" s="6">
        <v>14.75</v>
      </c>
      <c r="I5" s="4" t="s">
        <v>23</v>
      </c>
      <c r="J5" s="6">
        <v>17</v>
      </c>
      <c r="K5" s="6">
        <v>17</v>
      </c>
      <c r="L5" s="6">
        <f>F5-(F5*15%)</f>
        <v>17</v>
      </c>
      <c r="M5" s="6">
        <f t="shared" ref="M5" si="2">K5</f>
        <v>17</v>
      </c>
      <c r="N5" s="6">
        <v>18</v>
      </c>
      <c r="O5" s="6" t="s">
        <v>23</v>
      </c>
      <c r="P5" s="6">
        <v>14.75</v>
      </c>
      <c r="Q5" s="6">
        <v>14.75</v>
      </c>
      <c r="R5" s="6">
        <v>14.75</v>
      </c>
      <c r="S5" s="6">
        <v>14.75</v>
      </c>
      <c r="T5" s="6"/>
      <c r="U5" s="6"/>
      <c r="V5" s="6">
        <v>14.75</v>
      </c>
      <c r="W5" s="6">
        <v>14.75</v>
      </c>
      <c r="X5" s="6">
        <v>14.75</v>
      </c>
      <c r="Y5" s="6">
        <v>14.75</v>
      </c>
      <c r="Z5" s="6">
        <v>14.75</v>
      </c>
      <c r="AA5" s="6">
        <v>14.75</v>
      </c>
      <c r="AB5" s="6">
        <v>14.75</v>
      </c>
      <c r="AC5" s="6">
        <v>14.75</v>
      </c>
      <c r="AD5" s="6">
        <v>14.75</v>
      </c>
      <c r="AE5" s="6">
        <v>14.75</v>
      </c>
      <c r="AF5" s="6">
        <v>14.75</v>
      </c>
      <c r="AG5" s="6">
        <v>14.75</v>
      </c>
      <c r="AH5" s="6">
        <v>14.75</v>
      </c>
      <c r="AI5" s="6">
        <v>14.75</v>
      </c>
      <c r="AJ5" s="6">
        <v>14.75</v>
      </c>
      <c r="AK5" s="6">
        <v>14.75</v>
      </c>
      <c r="AL5" s="6">
        <v>14.75</v>
      </c>
      <c r="AM5" s="6">
        <v>14.75</v>
      </c>
      <c r="AN5" s="6">
        <v>14.75</v>
      </c>
      <c r="AO5" s="6">
        <v>14.75</v>
      </c>
      <c r="AP5" s="6">
        <v>14.75</v>
      </c>
      <c r="AQ5" s="6">
        <v>14.75</v>
      </c>
      <c r="AR5" s="6">
        <v>14.75</v>
      </c>
      <c r="AS5" s="6">
        <v>14.75</v>
      </c>
      <c r="AT5" s="6">
        <v>14.75</v>
      </c>
      <c r="AU5" s="6">
        <v>14.75</v>
      </c>
      <c r="AV5" s="6">
        <v>14.75</v>
      </c>
      <c r="AW5" s="6">
        <v>14.75</v>
      </c>
      <c r="AX5" s="6">
        <v>14.75</v>
      </c>
      <c r="AY5" s="6"/>
      <c r="AZ5" s="6"/>
      <c r="BA5" s="6"/>
      <c r="BB5" s="6"/>
      <c r="BC5" s="6"/>
      <c r="BD5" s="6"/>
      <c r="BE5" s="6"/>
      <c r="BF5" s="6"/>
      <c r="BG5" s="6">
        <v>14.75</v>
      </c>
      <c r="BH5" s="6">
        <v>14.75</v>
      </c>
    </row>
    <row r="6" spans="1:60" ht="15.95" customHeight="1" x14ac:dyDescent="0.25">
      <c r="A6" s="4">
        <f t="shared" si="1"/>
        <v>4</v>
      </c>
      <c r="B6" s="110" t="s">
        <v>238</v>
      </c>
      <c r="C6" s="5" t="s">
        <v>29</v>
      </c>
      <c r="D6" s="75">
        <v>0.05</v>
      </c>
      <c r="E6" s="4">
        <v>12</v>
      </c>
      <c r="F6" s="6">
        <v>25</v>
      </c>
      <c r="G6" s="6">
        <v>22</v>
      </c>
      <c r="H6" s="6">
        <v>21</v>
      </c>
      <c r="I6" s="4" t="s">
        <v>23</v>
      </c>
      <c r="J6" s="6">
        <v>21.25</v>
      </c>
      <c r="K6" s="6">
        <v>21.25</v>
      </c>
      <c r="L6" s="6">
        <v>21.25</v>
      </c>
      <c r="M6" s="6">
        <v>21.25</v>
      </c>
      <c r="N6" s="6">
        <v>22</v>
      </c>
      <c r="O6" s="6" t="s">
        <v>23</v>
      </c>
      <c r="P6" s="6">
        <v>21</v>
      </c>
      <c r="Q6" s="6">
        <v>21</v>
      </c>
      <c r="R6" s="6">
        <v>21</v>
      </c>
      <c r="S6" s="6">
        <v>21</v>
      </c>
      <c r="T6" s="6"/>
      <c r="U6" s="6"/>
      <c r="V6" s="6">
        <v>21</v>
      </c>
      <c r="W6" s="6">
        <v>21</v>
      </c>
      <c r="X6" s="6">
        <v>21</v>
      </c>
      <c r="Y6" s="6">
        <v>21</v>
      </c>
      <c r="Z6" s="6">
        <v>21</v>
      </c>
      <c r="AA6" s="6">
        <v>21</v>
      </c>
      <c r="AB6" s="6">
        <v>21</v>
      </c>
      <c r="AC6" s="6">
        <v>21</v>
      </c>
      <c r="AD6" s="6">
        <v>21</v>
      </c>
      <c r="AE6" s="6">
        <v>21</v>
      </c>
      <c r="AF6" s="6">
        <v>21</v>
      </c>
      <c r="AG6" s="6">
        <v>21</v>
      </c>
      <c r="AH6" s="6">
        <v>21</v>
      </c>
      <c r="AI6" s="6">
        <v>21</v>
      </c>
      <c r="AJ6" s="6">
        <v>21</v>
      </c>
      <c r="AK6" s="6">
        <v>21</v>
      </c>
      <c r="AL6" s="6">
        <v>21</v>
      </c>
      <c r="AM6" s="6">
        <v>21</v>
      </c>
      <c r="AN6" s="6">
        <v>21</v>
      </c>
      <c r="AO6" s="6">
        <v>21</v>
      </c>
      <c r="AP6" s="6">
        <v>21</v>
      </c>
      <c r="AQ6" s="6">
        <v>21</v>
      </c>
      <c r="AR6" s="6">
        <v>21</v>
      </c>
      <c r="AS6" s="6">
        <v>21</v>
      </c>
      <c r="AT6" s="6">
        <v>21</v>
      </c>
      <c r="AU6" s="6">
        <v>21</v>
      </c>
      <c r="AV6" s="6">
        <v>21</v>
      </c>
      <c r="AW6" s="6">
        <v>21</v>
      </c>
      <c r="AX6" s="6">
        <v>21</v>
      </c>
      <c r="AY6" s="6">
        <v>21</v>
      </c>
      <c r="AZ6" s="6">
        <v>21</v>
      </c>
      <c r="BA6" s="6">
        <v>21</v>
      </c>
      <c r="BB6" s="6">
        <v>21</v>
      </c>
      <c r="BC6" s="6">
        <v>21</v>
      </c>
      <c r="BD6" s="6">
        <v>21</v>
      </c>
      <c r="BE6" s="6">
        <v>21</v>
      </c>
      <c r="BF6" s="6">
        <v>21</v>
      </c>
      <c r="BG6" s="6">
        <v>21</v>
      </c>
      <c r="BH6" s="6">
        <v>21</v>
      </c>
    </row>
    <row r="7" spans="1:60" ht="15.95" customHeight="1" x14ac:dyDescent="0.25">
      <c r="A7" s="4">
        <f t="shared" si="1"/>
        <v>5</v>
      </c>
      <c r="B7" s="110" t="s">
        <v>238</v>
      </c>
      <c r="C7" s="5" t="s">
        <v>31</v>
      </c>
      <c r="D7" s="75">
        <v>0.05</v>
      </c>
      <c r="E7" s="4">
        <v>60</v>
      </c>
      <c r="F7" s="6">
        <v>20</v>
      </c>
      <c r="G7" s="6">
        <v>18</v>
      </c>
      <c r="H7" s="6">
        <v>17.25</v>
      </c>
      <c r="I7" s="4" t="s">
        <v>23</v>
      </c>
      <c r="J7" s="6">
        <v>17</v>
      </c>
      <c r="K7" s="6">
        <v>17</v>
      </c>
      <c r="L7" s="6">
        <v>17</v>
      </c>
      <c r="M7" s="6">
        <v>17</v>
      </c>
      <c r="N7" s="6">
        <v>18</v>
      </c>
      <c r="O7" s="6" t="s">
        <v>23</v>
      </c>
      <c r="P7" s="6">
        <v>17.25</v>
      </c>
      <c r="Q7" s="6">
        <v>17.25</v>
      </c>
      <c r="R7" s="6">
        <v>17.25</v>
      </c>
      <c r="S7" s="6">
        <v>17.25</v>
      </c>
      <c r="T7" s="6"/>
      <c r="U7" s="6"/>
      <c r="V7" s="6">
        <v>17.25</v>
      </c>
      <c r="W7" s="6">
        <v>17.25</v>
      </c>
      <c r="X7" s="6">
        <v>17.25</v>
      </c>
      <c r="Y7" s="6">
        <v>17.25</v>
      </c>
      <c r="Z7" s="6">
        <v>17.25</v>
      </c>
      <c r="AA7" s="6">
        <v>17.25</v>
      </c>
      <c r="AB7" s="6">
        <v>17.25</v>
      </c>
      <c r="AC7" s="6">
        <v>17.25</v>
      </c>
      <c r="AD7" s="6">
        <v>17.25</v>
      </c>
      <c r="AE7" s="6">
        <v>17.25</v>
      </c>
      <c r="AF7" s="6">
        <v>17.25</v>
      </c>
      <c r="AG7" s="6">
        <v>17.25</v>
      </c>
      <c r="AH7" s="6">
        <v>17.25</v>
      </c>
      <c r="AI7" s="6">
        <v>17.25</v>
      </c>
      <c r="AJ7" s="6">
        <v>17.25</v>
      </c>
      <c r="AK7" s="6">
        <v>17.25</v>
      </c>
      <c r="AL7" s="6">
        <v>17.25</v>
      </c>
      <c r="AM7" s="6">
        <v>17.25</v>
      </c>
      <c r="AN7" s="6">
        <v>17.25</v>
      </c>
      <c r="AO7" s="6">
        <v>17.25</v>
      </c>
      <c r="AP7" s="6">
        <v>17.25</v>
      </c>
      <c r="AQ7" s="6">
        <v>17.25</v>
      </c>
      <c r="AR7" s="6">
        <v>17.25</v>
      </c>
      <c r="AS7" s="6">
        <v>17.25</v>
      </c>
      <c r="AT7" s="6">
        <v>17.25</v>
      </c>
      <c r="AU7" s="6">
        <v>17.25</v>
      </c>
      <c r="AV7" s="6">
        <v>17.25</v>
      </c>
      <c r="AW7" s="6">
        <v>17.25</v>
      </c>
      <c r="AX7" s="6">
        <v>17.25</v>
      </c>
      <c r="AY7" s="6">
        <v>17.25</v>
      </c>
      <c r="AZ7" s="6">
        <v>17.25</v>
      </c>
      <c r="BA7" s="6">
        <v>17.25</v>
      </c>
      <c r="BB7" s="6">
        <v>17.25</v>
      </c>
      <c r="BC7" s="6">
        <v>17.25</v>
      </c>
      <c r="BD7" s="6">
        <v>17.25</v>
      </c>
      <c r="BE7" s="6">
        <v>17.25</v>
      </c>
      <c r="BF7" s="6">
        <v>17.25</v>
      </c>
      <c r="BG7" s="6">
        <v>17.25</v>
      </c>
      <c r="BH7" s="6">
        <v>17.25</v>
      </c>
    </row>
    <row r="8" spans="1:60" ht="15.95" customHeight="1" x14ac:dyDescent="0.25">
      <c r="A8" s="4">
        <f t="shared" si="1"/>
        <v>6</v>
      </c>
      <c r="B8" s="110" t="s">
        <v>238</v>
      </c>
      <c r="C8" s="5" t="s">
        <v>33</v>
      </c>
      <c r="D8" s="75">
        <v>0.05</v>
      </c>
      <c r="E8" s="4">
        <v>30</v>
      </c>
      <c r="F8" s="6">
        <v>35</v>
      </c>
      <c r="G8" s="6">
        <v>30.5</v>
      </c>
      <c r="H8" s="6">
        <v>29</v>
      </c>
      <c r="I8" s="4" t="s">
        <v>23</v>
      </c>
      <c r="J8" s="6">
        <v>29.75</v>
      </c>
      <c r="K8" s="6">
        <v>29.75</v>
      </c>
      <c r="L8" s="6">
        <v>29.75</v>
      </c>
      <c r="M8" s="6">
        <v>29.75</v>
      </c>
      <c r="N8" s="6">
        <v>30.5</v>
      </c>
      <c r="O8" s="6" t="s">
        <v>23</v>
      </c>
      <c r="P8" s="6">
        <v>29</v>
      </c>
      <c r="Q8" s="6">
        <v>29</v>
      </c>
      <c r="R8" s="6">
        <v>29</v>
      </c>
      <c r="S8" s="6">
        <v>29</v>
      </c>
      <c r="T8" s="6"/>
      <c r="U8" s="6"/>
      <c r="V8" s="6">
        <v>29</v>
      </c>
      <c r="W8" s="6">
        <v>29</v>
      </c>
      <c r="X8" s="6">
        <v>29</v>
      </c>
      <c r="Y8" s="6">
        <v>29</v>
      </c>
      <c r="Z8" s="6">
        <v>29</v>
      </c>
      <c r="AA8" s="6">
        <v>29</v>
      </c>
      <c r="AB8" s="6">
        <v>29</v>
      </c>
      <c r="AC8" s="6">
        <v>29</v>
      </c>
      <c r="AD8" s="6">
        <v>29</v>
      </c>
      <c r="AE8" s="6">
        <v>29</v>
      </c>
      <c r="AF8" s="6">
        <v>29</v>
      </c>
      <c r="AG8" s="6">
        <v>29</v>
      </c>
      <c r="AH8" s="6">
        <v>29</v>
      </c>
      <c r="AI8" s="6">
        <v>29</v>
      </c>
      <c r="AJ8" s="6">
        <v>29</v>
      </c>
      <c r="AK8" s="6">
        <v>29</v>
      </c>
      <c r="AL8" s="6">
        <v>29</v>
      </c>
      <c r="AM8" s="6">
        <v>29</v>
      </c>
      <c r="AN8" s="6">
        <v>29</v>
      </c>
      <c r="AO8" s="6">
        <v>29</v>
      </c>
      <c r="AP8" s="6">
        <v>29</v>
      </c>
      <c r="AQ8" s="6">
        <v>29</v>
      </c>
      <c r="AR8" s="6">
        <v>29</v>
      </c>
      <c r="AS8" s="6">
        <v>29</v>
      </c>
      <c r="AT8" s="6">
        <v>29</v>
      </c>
      <c r="AU8" s="6">
        <v>29</v>
      </c>
      <c r="AV8" s="6">
        <v>29</v>
      </c>
      <c r="AW8" s="6">
        <v>29</v>
      </c>
      <c r="AX8" s="6">
        <v>29</v>
      </c>
      <c r="AY8" s="6">
        <v>29</v>
      </c>
      <c r="AZ8" s="6">
        <v>29</v>
      </c>
      <c r="BA8" s="6">
        <v>29</v>
      </c>
      <c r="BB8" s="6">
        <v>29</v>
      </c>
      <c r="BC8" s="6">
        <v>29</v>
      </c>
      <c r="BD8" s="6">
        <v>29</v>
      </c>
      <c r="BE8" s="6">
        <v>29</v>
      </c>
      <c r="BF8" s="6">
        <v>29</v>
      </c>
      <c r="BG8" s="6">
        <v>29</v>
      </c>
      <c r="BH8" s="6">
        <v>29</v>
      </c>
    </row>
    <row r="9" spans="1:60" ht="15.95" customHeight="1" x14ac:dyDescent="0.25">
      <c r="A9" s="4">
        <f t="shared" si="1"/>
        <v>7</v>
      </c>
      <c r="B9" s="110" t="s">
        <v>238</v>
      </c>
      <c r="C9" s="5" t="s">
        <v>35</v>
      </c>
      <c r="D9" s="75">
        <v>0.05</v>
      </c>
      <c r="E9" s="4">
        <v>12</v>
      </c>
      <c r="F9" s="6">
        <v>85</v>
      </c>
      <c r="G9" s="6">
        <v>75</v>
      </c>
      <c r="H9" s="6">
        <v>72</v>
      </c>
      <c r="I9" s="4" t="s">
        <v>23</v>
      </c>
      <c r="J9" s="6">
        <v>72.25</v>
      </c>
      <c r="K9" s="6">
        <v>72.25</v>
      </c>
      <c r="L9" s="6">
        <v>72.25</v>
      </c>
      <c r="M9" s="6">
        <v>72.25</v>
      </c>
      <c r="N9" s="6">
        <v>75</v>
      </c>
      <c r="O9" s="6" t="s">
        <v>23</v>
      </c>
      <c r="P9" s="6">
        <v>72</v>
      </c>
      <c r="Q9" s="6">
        <v>72</v>
      </c>
      <c r="R9" s="6">
        <v>72</v>
      </c>
      <c r="S9" s="6">
        <v>72</v>
      </c>
      <c r="T9" s="6"/>
      <c r="U9" s="6"/>
      <c r="V9" s="6">
        <v>72</v>
      </c>
      <c r="W9" s="6">
        <v>72</v>
      </c>
      <c r="X9" s="6">
        <v>72</v>
      </c>
      <c r="Y9" s="6">
        <v>72</v>
      </c>
      <c r="Z9" s="128">
        <v>75</v>
      </c>
      <c r="AA9" s="6">
        <v>72</v>
      </c>
      <c r="AB9" s="128">
        <v>75</v>
      </c>
      <c r="AC9" s="128">
        <v>75</v>
      </c>
      <c r="AD9" s="128">
        <v>75</v>
      </c>
      <c r="AE9" s="128">
        <v>75</v>
      </c>
      <c r="AF9" s="128">
        <v>75</v>
      </c>
      <c r="AG9" s="6">
        <v>72</v>
      </c>
      <c r="AH9" s="128">
        <v>75</v>
      </c>
      <c r="AI9" s="128">
        <v>75</v>
      </c>
      <c r="AJ9" s="6">
        <v>72</v>
      </c>
      <c r="AK9" s="6">
        <v>72</v>
      </c>
      <c r="AL9" s="128">
        <v>75</v>
      </c>
      <c r="AM9" s="128">
        <v>75</v>
      </c>
      <c r="AN9" s="128">
        <v>75</v>
      </c>
      <c r="AO9" s="6">
        <v>72</v>
      </c>
      <c r="AP9" s="128">
        <v>75</v>
      </c>
      <c r="AQ9" s="128">
        <v>75</v>
      </c>
      <c r="AR9" s="128">
        <v>75</v>
      </c>
      <c r="AS9" s="128">
        <v>75</v>
      </c>
      <c r="AT9" s="6">
        <v>72</v>
      </c>
      <c r="AU9" s="6">
        <v>72</v>
      </c>
      <c r="AV9" s="128">
        <v>75</v>
      </c>
      <c r="AW9" s="128">
        <v>75</v>
      </c>
      <c r="AX9" s="6">
        <v>72</v>
      </c>
      <c r="AY9" s="6">
        <v>72</v>
      </c>
      <c r="AZ9" s="6">
        <v>72</v>
      </c>
      <c r="BA9" s="6">
        <v>72</v>
      </c>
      <c r="BB9" s="6">
        <v>72</v>
      </c>
      <c r="BC9" s="6">
        <v>72</v>
      </c>
      <c r="BD9" s="6">
        <v>72</v>
      </c>
      <c r="BE9" s="6">
        <v>72</v>
      </c>
      <c r="BF9" s="6">
        <v>72</v>
      </c>
      <c r="BG9" s="6">
        <v>72</v>
      </c>
      <c r="BH9" s="6">
        <v>72</v>
      </c>
    </row>
    <row r="10" spans="1:60" ht="15.95" customHeight="1" x14ac:dyDescent="0.25">
      <c r="A10" s="4">
        <f t="shared" si="1"/>
        <v>8</v>
      </c>
      <c r="B10" s="110" t="s">
        <v>238</v>
      </c>
      <c r="C10" s="5" t="s">
        <v>36</v>
      </c>
      <c r="D10" s="75">
        <v>0.05</v>
      </c>
      <c r="E10" s="4">
        <v>2</v>
      </c>
      <c r="F10" s="6">
        <v>380</v>
      </c>
      <c r="G10" s="6">
        <v>350</v>
      </c>
      <c r="H10" s="6">
        <v>335</v>
      </c>
      <c r="I10" s="4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>
        <v>335</v>
      </c>
      <c r="Q10" s="6">
        <v>335</v>
      </c>
      <c r="R10" s="6">
        <v>335</v>
      </c>
      <c r="S10" s="6">
        <v>335</v>
      </c>
      <c r="T10" s="6"/>
      <c r="U10" s="6"/>
      <c r="V10" s="6">
        <v>335</v>
      </c>
      <c r="W10" s="6">
        <v>335</v>
      </c>
      <c r="X10" s="6">
        <v>335</v>
      </c>
      <c r="Y10" s="6">
        <v>335</v>
      </c>
      <c r="Z10" s="128">
        <v>350</v>
      </c>
      <c r="AA10" s="128">
        <v>350</v>
      </c>
      <c r="AB10" s="128">
        <v>350</v>
      </c>
      <c r="AC10" s="128">
        <v>350</v>
      </c>
      <c r="AD10" s="128">
        <v>350</v>
      </c>
      <c r="AE10" s="128">
        <v>350</v>
      </c>
      <c r="AF10" s="128">
        <v>350</v>
      </c>
      <c r="AG10" s="6">
        <v>335</v>
      </c>
      <c r="AH10" s="128">
        <v>350</v>
      </c>
      <c r="AI10" s="128">
        <v>350</v>
      </c>
      <c r="AJ10" s="6">
        <v>335</v>
      </c>
      <c r="AK10" s="6">
        <v>335</v>
      </c>
      <c r="AL10" s="128">
        <v>350</v>
      </c>
      <c r="AM10" s="128">
        <v>350</v>
      </c>
      <c r="AN10" s="128">
        <v>350</v>
      </c>
      <c r="AO10" s="6">
        <v>335</v>
      </c>
      <c r="AP10" s="128">
        <v>350</v>
      </c>
      <c r="AQ10" s="128">
        <v>350</v>
      </c>
      <c r="AR10" s="128">
        <v>350</v>
      </c>
      <c r="AS10" s="6">
        <v>335</v>
      </c>
      <c r="AT10" s="6">
        <v>335</v>
      </c>
      <c r="AU10" s="6">
        <v>335</v>
      </c>
      <c r="AV10" s="128">
        <v>350</v>
      </c>
      <c r="AW10" s="128">
        <v>350</v>
      </c>
      <c r="AX10" s="128">
        <v>350</v>
      </c>
      <c r="AY10" s="6"/>
      <c r="AZ10" s="6"/>
      <c r="BA10" s="6"/>
      <c r="BB10" s="6"/>
      <c r="BC10" s="6"/>
      <c r="BD10" s="6"/>
      <c r="BE10" s="6"/>
      <c r="BF10" s="6"/>
      <c r="BG10" s="6">
        <v>335</v>
      </c>
      <c r="BH10" s="6">
        <v>335</v>
      </c>
    </row>
    <row r="11" spans="1:60" ht="15.95" customHeight="1" x14ac:dyDescent="0.25">
      <c r="A11" s="4">
        <f t="shared" si="1"/>
        <v>9</v>
      </c>
      <c r="B11" s="110" t="s">
        <v>238</v>
      </c>
      <c r="C11" s="5" t="s">
        <v>38</v>
      </c>
      <c r="D11" s="75">
        <v>0.05</v>
      </c>
      <c r="E11" s="4">
        <v>1</v>
      </c>
      <c r="F11" s="6">
        <v>430</v>
      </c>
      <c r="G11" s="6">
        <v>390</v>
      </c>
      <c r="H11" s="6">
        <v>375</v>
      </c>
      <c r="I11" s="4" t="s">
        <v>23</v>
      </c>
      <c r="J11" s="6" t="s">
        <v>23</v>
      </c>
      <c r="K11" s="6" t="s">
        <v>23</v>
      </c>
      <c r="L11" s="6" t="s">
        <v>23</v>
      </c>
      <c r="M11" s="6" t="s">
        <v>23</v>
      </c>
      <c r="N11" s="6" t="s">
        <v>23</v>
      </c>
      <c r="O11" s="6" t="s">
        <v>23</v>
      </c>
      <c r="P11" s="6">
        <v>375</v>
      </c>
      <c r="Q11" s="6">
        <v>375</v>
      </c>
      <c r="R11" s="6">
        <v>375</v>
      </c>
      <c r="S11" s="6">
        <v>375</v>
      </c>
      <c r="T11" s="6"/>
      <c r="U11" s="6"/>
      <c r="V11" s="6">
        <v>375</v>
      </c>
      <c r="W11" s="6">
        <v>375</v>
      </c>
      <c r="X11" s="6">
        <v>375</v>
      </c>
      <c r="Y11" s="6">
        <v>375</v>
      </c>
      <c r="Z11" s="128">
        <v>390</v>
      </c>
      <c r="AA11" s="128">
        <v>390</v>
      </c>
      <c r="AB11" s="128">
        <v>390</v>
      </c>
      <c r="AC11" s="128">
        <v>390</v>
      </c>
      <c r="AD11" s="128">
        <v>390</v>
      </c>
      <c r="AE11" s="128">
        <v>390</v>
      </c>
      <c r="AF11" s="128">
        <v>390</v>
      </c>
      <c r="AG11" s="6">
        <v>375</v>
      </c>
      <c r="AH11" s="128">
        <v>390</v>
      </c>
      <c r="AI11" s="128">
        <v>390</v>
      </c>
      <c r="AJ11" s="128">
        <v>390</v>
      </c>
      <c r="AK11" s="6">
        <v>375</v>
      </c>
      <c r="AL11" s="128">
        <v>390</v>
      </c>
      <c r="AM11" s="128">
        <v>390</v>
      </c>
      <c r="AN11" s="128">
        <v>390</v>
      </c>
      <c r="AO11" s="6">
        <v>375</v>
      </c>
      <c r="AP11" s="128">
        <v>390</v>
      </c>
      <c r="AQ11" s="128">
        <v>390</v>
      </c>
      <c r="AR11" s="128">
        <v>390</v>
      </c>
      <c r="AS11" s="128">
        <v>390</v>
      </c>
      <c r="AT11" s="128">
        <v>390</v>
      </c>
      <c r="AU11" s="128">
        <v>390</v>
      </c>
      <c r="AV11" s="6">
        <v>375</v>
      </c>
      <c r="AW11" s="128">
        <v>390</v>
      </c>
      <c r="AX11" s="128">
        <v>390</v>
      </c>
      <c r="AY11" s="6"/>
      <c r="AZ11" s="6"/>
      <c r="BA11" s="6"/>
      <c r="BB11" s="6"/>
      <c r="BC11" s="6"/>
      <c r="BD11" s="6"/>
      <c r="BE11" s="6"/>
      <c r="BF11" s="6"/>
      <c r="BG11" s="6">
        <v>375</v>
      </c>
      <c r="BH11" s="6">
        <v>375</v>
      </c>
    </row>
    <row r="12" spans="1:60" ht="15.95" customHeight="1" x14ac:dyDescent="0.25">
      <c r="A12" s="4">
        <f t="shared" si="1"/>
        <v>10</v>
      </c>
      <c r="B12" s="110" t="s">
        <v>238</v>
      </c>
      <c r="C12" s="5" t="s">
        <v>41</v>
      </c>
      <c r="D12" s="75">
        <v>0.05</v>
      </c>
      <c r="E12" s="4">
        <v>1</v>
      </c>
      <c r="F12" s="6">
        <v>1200</v>
      </c>
      <c r="G12" s="6">
        <v>1095</v>
      </c>
      <c r="H12" s="6">
        <v>1050</v>
      </c>
      <c r="I12" s="4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>
        <v>1050</v>
      </c>
      <c r="Q12" s="6">
        <v>1050</v>
      </c>
      <c r="R12" s="6">
        <v>1050</v>
      </c>
      <c r="S12" s="6">
        <v>1050</v>
      </c>
      <c r="T12" s="6"/>
      <c r="U12" s="6"/>
      <c r="V12" s="6">
        <v>1050</v>
      </c>
      <c r="W12" s="6">
        <v>1050</v>
      </c>
      <c r="X12" s="6">
        <v>1050</v>
      </c>
      <c r="Y12" s="6">
        <v>1050</v>
      </c>
      <c r="Z12" s="128">
        <v>1095</v>
      </c>
      <c r="AA12" s="6">
        <v>1050</v>
      </c>
      <c r="AB12" s="128">
        <v>1095</v>
      </c>
      <c r="AC12" s="128">
        <v>1095</v>
      </c>
      <c r="AD12" s="128">
        <v>1095</v>
      </c>
      <c r="AE12" s="128">
        <v>1095</v>
      </c>
      <c r="AF12" s="128">
        <v>1095</v>
      </c>
      <c r="AG12" s="6">
        <v>1050</v>
      </c>
      <c r="AH12" s="128">
        <v>1095</v>
      </c>
      <c r="AI12" s="128">
        <v>1095</v>
      </c>
      <c r="AJ12" s="6">
        <v>1050</v>
      </c>
      <c r="AK12" s="6">
        <v>1050</v>
      </c>
      <c r="AL12" s="128">
        <v>1095</v>
      </c>
      <c r="AM12" s="128">
        <v>1095</v>
      </c>
      <c r="AN12" s="128">
        <v>1095</v>
      </c>
      <c r="AO12" s="6">
        <v>1050</v>
      </c>
      <c r="AP12" s="128">
        <v>1095</v>
      </c>
      <c r="AQ12" s="128">
        <v>1095</v>
      </c>
      <c r="AR12" s="128">
        <v>1095</v>
      </c>
      <c r="AS12" s="6">
        <v>1050</v>
      </c>
      <c r="AT12" s="6">
        <v>1050</v>
      </c>
      <c r="AU12" s="6">
        <v>1050</v>
      </c>
      <c r="AV12" s="6">
        <v>1050</v>
      </c>
      <c r="AW12" s="128">
        <v>1095</v>
      </c>
      <c r="AX12" s="6">
        <v>1050</v>
      </c>
      <c r="AY12" s="6">
        <v>1050</v>
      </c>
      <c r="AZ12" s="6">
        <v>1050</v>
      </c>
      <c r="BA12" s="6">
        <v>1050</v>
      </c>
      <c r="BB12" s="6">
        <v>1050</v>
      </c>
      <c r="BC12" s="6">
        <v>1050</v>
      </c>
      <c r="BD12" s="6">
        <v>1050</v>
      </c>
      <c r="BE12" s="6">
        <v>1050</v>
      </c>
      <c r="BF12" s="6">
        <v>1050</v>
      </c>
      <c r="BG12" s="6">
        <v>1050</v>
      </c>
      <c r="BH12" s="6">
        <v>1050</v>
      </c>
    </row>
    <row r="13" spans="1:60" ht="15.95" customHeight="1" x14ac:dyDescent="0.25">
      <c r="A13" s="4">
        <f t="shared" si="1"/>
        <v>11</v>
      </c>
      <c r="B13" s="110" t="s">
        <v>238</v>
      </c>
      <c r="C13" s="5" t="s">
        <v>42</v>
      </c>
      <c r="D13" s="75">
        <v>0.05</v>
      </c>
      <c r="E13" s="4">
        <v>60</v>
      </c>
      <c r="F13" s="6">
        <v>16</v>
      </c>
      <c r="G13" s="6">
        <v>13.95</v>
      </c>
      <c r="H13" s="6">
        <v>12.95</v>
      </c>
      <c r="I13" s="4" t="s">
        <v>23</v>
      </c>
      <c r="J13" s="6">
        <v>13.6</v>
      </c>
      <c r="K13" s="6">
        <v>13.6</v>
      </c>
      <c r="L13" s="6">
        <v>13.6</v>
      </c>
      <c r="M13" s="6">
        <v>13.6</v>
      </c>
      <c r="N13" s="6">
        <v>13.95</v>
      </c>
      <c r="O13" s="6" t="s">
        <v>23</v>
      </c>
      <c r="P13" s="6">
        <v>12.95</v>
      </c>
      <c r="Q13" s="6">
        <v>12.95</v>
      </c>
      <c r="R13" s="6">
        <v>12.95</v>
      </c>
      <c r="S13" s="6">
        <v>12.95</v>
      </c>
      <c r="T13" s="6"/>
      <c r="U13" s="6"/>
      <c r="V13" s="6">
        <v>12.95</v>
      </c>
      <c r="W13" s="6">
        <v>12.95</v>
      </c>
      <c r="X13" s="6">
        <v>12.95</v>
      </c>
      <c r="Y13" s="6">
        <v>12.95</v>
      </c>
      <c r="Z13" s="6">
        <v>12.95</v>
      </c>
      <c r="AA13" s="6">
        <v>12.95</v>
      </c>
      <c r="AB13" s="6">
        <v>12.95</v>
      </c>
      <c r="AC13" s="6">
        <v>12.95</v>
      </c>
      <c r="AD13" s="6">
        <v>12.95</v>
      </c>
      <c r="AE13" s="6">
        <v>12.95</v>
      </c>
      <c r="AF13" s="6">
        <v>12.95</v>
      </c>
      <c r="AG13" s="6">
        <v>12.95</v>
      </c>
      <c r="AH13" s="6">
        <v>12.95</v>
      </c>
      <c r="AI13" s="6">
        <v>12.95</v>
      </c>
      <c r="AJ13" s="6">
        <v>12.95</v>
      </c>
      <c r="AK13" s="6">
        <v>12.95</v>
      </c>
      <c r="AL13" s="6">
        <v>12.95</v>
      </c>
      <c r="AM13" s="6">
        <v>12.95</v>
      </c>
      <c r="AN13" s="6">
        <v>12.95</v>
      </c>
      <c r="AO13" s="6">
        <v>12.95</v>
      </c>
      <c r="AP13" s="6">
        <v>12.95</v>
      </c>
      <c r="AQ13" s="6">
        <v>12.95</v>
      </c>
      <c r="AR13" s="6">
        <v>12.95</v>
      </c>
      <c r="AS13" s="6">
        <v>12.95</v>
      </c>
      <c r="AT13" s="6">
        <v>12.95</v>
      </c>
      <c r="AU13" s="6">
        <v>12.95</v>
      </c>
      <c r="AV13" s="6">
        <v>12.95</v>
      </c>
      <c r="AW13" s="6">
        <v>12.95</v>
      </c>
      <c r="AX13" s="6">
        <v>12.95</v>
      </c>
      <c r="AY13" s="6">
        <v>12.95</v>
      </c>
      <c r="AZ13" s="6">
        <v>12.95</v>
      </c>
      <c r="BA13" s="6">
        <v>12.95</v>
      </c>
      <c r="BB13" s="6">
        <v>12.95</v>
      </c>
      <c r="BC13" s="6">
        <v>12.95</v>
      </c>
      <c r="BD13" s="6">
        <v>12.95</v>
      </c>
      <c r="BE13" s="6">
        <v>12.95</v>
      </c>
      <c r="BF13" s="6">
        <v>12.95</v>
      </c>
      <c r="BG13" s="6">
        <v>12.95</v>
      </c>
      <c r="BH13" s="6">
        <v>12.95</v>
      </c>
    </row>
    <row r="14" spans="1:60" ht="15.95" customHeight="1" x14ac:dyDescent="0.25">
      <c r="A14" s="4">
        <f t="shared" si="1"/>
        <v>12</v>
      </c>
      <c r="B14" s="110" t="s">
        <v>238</v>
      </c>
      <c r="C14" s="5" t="s">
        <v>43</v>
      </c>
      <c r="D14" s="75">
        <v>0.05</v>
      </c>
      <c r="E14" s="4">
        <v>12</v>
      </c>
      <c r="F14" s="6">
        <v>60</v>
      </c>
      <c r="G14" s="6">
        <v>53</v>
      </c>
      <c r="H14" s="6">
        <v>51</v>
      </c>
      <c r="I14" s="4" t="s">
        <v>23</v>
      </c>
      <c r="J14" s="6">
        <v>51</v>
      </c>
      <c r="K14" s="6">
        <v>51</v>
      </c>
      <c r="L14" s="6">
        <v>51</v>
      </c>
      <c r="M14" s="6">
        <v>51</v>
      </c>
      <c r="N14" s="6">
        <v>53</v>
      </c>
      <c r="O14" s="6" t="s">
        <v>23</v>
      </c>
      <c r="P14" s="6">
        <v>51</v>
      </c>
      <c r="Q14" s="6">
        <v>51</v>
      </c>
      <c r="R14" s="6">
        <v>51</v>
      </c>
      <c r="S14" s="6">
        <v>51</v>
      </c>
      <c r="T14" s="6"/>
      <c r="U14" s="6"/>
      <c r="V14" s="6">
        <v>51</v>
      </c>
      <c r="W14" s="128">
        <v>53</v>
      </c>
      <c r="X14" s="128">
        <v>53</v>
      </c>
      <c r="Y14" s="128">
        <v>53</v>
      </c>
      <c r="Z14" s="128">
        <v>60</v>
      </c>
      <c r="AA14" s="128">
        <v>60</v>
      </c>
      <c r="AB14" s="128">
        <v>60</v>
      </c>
      <c r="AC14" s="128">
        <v>60</v>
      </c>
      <c r="AD14" s="128">
        <v>60</v>
      </c>
      <c r="AE14" s="128">
        <v>60</v>
      </c>
      <c r="AF14" s="128">
        <v>60</v>
      </c>
      <c r="AG14" s="6">
        <v>51</v>
      </c>
      <c r="AH14" s="128">
        <v>60</v>
      </c>
      <c r="AI14" s="128">
        <v>60</v>
      </c>
      <c r="AJ14" s="128">
        <v>60</v>
      </c>
      <c r="AK14" s="6">
        <v>51</v>
      </c>
      <c r="AL14" s="128">
        <v>60</v>
      </c>
      <c r="AM14" s="128">
        <v>60</v>
      </c>
      <c r="AN14" s="128">
        <v>60</v>
      </c>
      <c r="AO14" s="128">
        <v>53</v>
      </c>
      <c r="AP14" s="128">
        <v>60</v>
      </c>
      <c r="AQ14" s="128">
        <v>60</v>
      </c>
      <c r="AR14" s="128">
        <v>60</v>
      </c>
      <c r="AS14" s="128">
        <v>60</v>
      </c>
      <c r="AT14" s="128">
        <v>60</v>
      </c>
      <c r="AU14" s="128">
        <v>60</v>
      </c>
      <c r="AV14" s="128">
        <v>53</v>
      </c>
      <c r="AW14" s="128">
        <v>60</v>
      </c>
      <c r="AX14" s="128">
        <v>60</v>
      </c>
      <c r="AY14" s="6"/>
      <c r="AZ14" s="6"/>
      <c r="BA14" s="6"/>
      <c r="BB14" s="6"/>
      <c r="BC14" s="6"/>
      <c r="BD14" s="6"/>
      <c r="BE14" s="6"/>
      <c r="BF14" s="6"/>
      <c r="BG14" s="6">
        <v>51</v>
      </c>
      <c r="BH14" s="6">
        <v>51</v>
      </c>
    </row>
    <row r="15" spans="1:60" ht="15.95" customHeight="1" x14ac:dyDescent="0.25">
      <c r="A15" s="4">
        <f t="shared" si="1"/>
        <v>13</v>
      </c>
      <c r="B15" s="110" t="s">
        <v>238</v>
      </c>
      <c r="C15" s="5" t="s">
        <v>44</v>
      </c>
      <c r="D15" s="75">
        <v>0.05</v>
      </c>
      <c r="E15" s="4">
        <v>2</v>
      </c>
      <c r="F15" s="6">
        <v>290</v>
      </c>
      <c r="G15" s="6">
        <v>260</v>
      </c>
      <c r="H15" s="6">
        <v>250</v>
      </c>
      <c r="I15" s="4" t="s">
        <v>23</v>
      </c>
      <c r="J15" s="6" t="s">
        <v>23</v>
      </c>
      <c r="K15" s="6" t="s">
        <v>23</v>
      </c>
      <c r="L15" s="6" t="s">
        <v>23</v>
      </c>
      <c r="M15" s="6" t="s">
        <v>23</v>
      </c>
      <c r="N15" s="6" t="s">
        <v>23</v>
      </c>
      <c r="O15" s="6" t="s">
        <v>23</v>
      </c>
      <c r="P15" s="6">
        <v>250</v>
      </c>
      <c r="Q15" s="6">
        <v>250</v>
      </c>
      <c r="R15" s="6">
        <v>250</v>
      </c>
      <c r="S15" s="6">
        <v>250</v>
      </c>
      <c r="T15" s="6"/>
      <c r="U15" s="6"/>
      <c r="V15" s="6">
        <v>250</v>
      </c>
      <c r="W15" s="6">
        <v>250</v>
      </c>
      <c r="X15" s="6">
        <v>250</v>
      </c>
      <c r="Y15" s="6">
        <v>250</v>
      </c>
      <c r="Z15" s="128">
        <v>260</v>
      </c>
      <c r="AA15" s="128">
        <v>260</v>
      </c>
      <c r="AB15" s="128">
        <v>260</v>
      </c>
      <c r="AC15" s="128">
        <v>260</v>
      </c>
      <c r="AD15" s="128">
        <v>260</v>
      </c>
      <c r="AE15" s="128">
        <v>260</v>
      </c>
      <c r="AF15" s="128">
        <v>260</v>
      </c>
      <c r="AG15" s="6">
        <v>250</v>
      </c>
      <c r="AH15" s="128">
        <v>260</v>
      </c>
      <c r="AI15" s="128">
        <v>260</v>
      </c>
      <c r="AJ15" s="128">
        <v>260</v>
      </c>
      <c r="AK15" s="6">
        <v>250</v>
      </c>
      <c r="AL15" s="128">
        <v>260</v>
      </c>
      <c r="AM15" s="128">
        <v>260</v>
      </c>
      <c r="AN15" s="128">
        <v>260</v>
      </c>
      <c r="AO15" s="6">
        <v>250</v>
      </c>
      <c r="AP15" s="128">
        <v>260</v>
      </c>
      <c r="AQ15" s="128">
        <v>260</v>
      </c>
      <c r="AR15" s="128">
        <v>260</v>
      </c>
      <c r="AS15" s="128">
        <v>260</v>
      </c>
      <c r="AT15" s="128">
        <v>260</v>
      </c>
      <c r="AU15" s="128">
        <v>260</v>
      </c>
      <c r="AV15" s="6">
        <v>250</v>
      </c>
      <c r="AW15" s="128">
        <v>260</v>
      </c>
      <c r="AX15" s="128">
        <v>260</v>
      </c>
      <c r="AY15" s="6">
        <v>250</v>
      </c>
      <c r="AZ15" s="6">
        <v>250</v>
      </c>
      <c r="BA15" s="6">
        <v>250</v>
      </c>
      <c r="BB15" s="6">
        <v>250</v>
      </c>
      <c r="BC15" s="6">
        <v>250</v>
      </c>
      <c r="BD15" s="6">
        <v>250</v>
      </c>
      <c r="BE15" s="6">
        <v>250</v>
      </c>
      <c r="BF15" s="6">
        <v>250</v>
      </c>
      <c r="BG15" s="6">
        <v>250</v>
      </c>
      <c r="BH15" s="6">
        <v>250</v>
      </c>
    </row>
    <row r="16" spans="1:60" ht="15.95" customHeight="1" x14ac:dyDescent="0.25">
      <c r="A16" s="4">
        <f t="shared" si="1"/>
        <v>14</v>
      </c>
      <c r="B16" s="110" t="s">
        <v>238</v>
      </c>
      <c r="C16" s="5" t="s">
        <v>46</v>
      </c>
      <c r="D16" s="75">
        <v>0.05</v>
      </c>
      <c r="E16" s="4">
        <v>1</v>
      </c>
      <c r="F16" s="6">
        <v>1050</v>
      </c>
      <c r="G16" s="6">
        <v>920</v>
      </c>
      <c r="H16" s="6">
        <v>875</v>
      </c>
      <c r="I16" s="4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>
        <v>875</v>
      </c>
      <c r="Q16" s="6">
        <v>875</v>
      </c>
      <c r="R16" s="6">
        <v>875</v>
      </c>
      <c r="S16" s="6">
        <v>875</v>
      </c>
      <c r="T16" s="6"/>
      <c r="U16" s="6"/>
      <c r="V16" s="6">
        <v>875</v>
      </c>
      <c r="W16" s="6">
        <v>875</v>
      </c>
      <c r="X16" s="6">
        <v>875</v>
      </c>
      <c r="Y16" s="6">
        <v>875</v>
      </c>
      <c r="Z16" s="128">
        <v>920</v>
      </c>
      <c r="AA16" s="128">
        <v>920</v>
      </c>
      <c r="AB16" s="128">
        <v>920</v>
      </c>
      <c r="AC16" s="128">
        <v>920</v>
      </c>
      <c r="AD16" s="128">
        <v>920</v>
      </c>
      <c r="AE16" s="128">
        <v>920</v>
      </c>
      <c r="AF16" s="128">
        <v>920</v>
      </c>
      <c r="AG16" s="6">
        <v>875</v>
      </c>
      <c r="AH16" s="128">
        <v>920</v>
      </c>
      <c r="AI16" s="128">
        <v>920</v>
      </c>
      <c r="AJ16" s="128">
        <v>920</v>
      </c>
      <c r="AK16" s="6">
        <v>875</v>
      </c>
      <c r="AL16" s="128">
        <v>920</v>
      </c>
      <c r="AM16" s="128">
        <v>920</v>
      </c>
      <c r="AN16" s="128">
        <v>920</v>
      </c>
      <c r="AO16" s="6">
        <v>875</v>
      </c>
      <c r="AP16" s="128">
        <v>920</v>
      </c>
      <c r="AQ16" s="128">
        <v>920</v>
      </c>
      <c r="AR16" s="128">
        <v>920</v>
      </c>
      <c r="AS16" s="128">
        <v>920</v>
      </c>
      <c r="AT16" s="128">
        <v>920</v>
      </c>
      <c r="AU16" s="128">
        <v>920</v>
      </c>
      <c r="AV16" s="6">
        <v>875</v>
      </c>
      <c r="AW16" s="128">
        <v>920</v>
      </c>
      <c r="AX16" s="128">
        <v>920</v>
      </c>
      <c r="AY16" s="6"/>
      <c r="AZ16" s="6"/>
      <c r="BA16" s="6"/>
      <c r="BB16" s="6"/>
      <c r="BC16" s="6"/>
      <c r="BD16" s="6"/>
      <c r="BE16" s="6"/>
      <c r="BF16" s="6"/>
      <c r="BG16" s="6">
        <v>875</v>
      </c>
      <c r="BH16" s="6">
        <v>875</v>
      </c>
    </row>
    <row r="17" spans="1:60" ht="15.95" customHeight="1" x14ac:dyDescent="0.25">
      <c r="A17" s="4">
        <f t="shared" si="1"/>
        <v>15</v>
      </c>
      <c r="B17" s="110" t="s">
        <v>238</v>
      </c>
      <c r="C17" s="5" t="s">
        <v>47</v>
      </c>
      <c r="D17" s="75">
        <v>0.05</v>
      </c>
      <c r="E17" s="4">
        <v>12</v>
      </c>
      <c r="F17" s="6">
        <v>30</v>
      </c>
      <c r="G17" s="6">
        <v>26</v>
      </c>
      <c r="H17" s="6">
        <v>25</v>
      </c>
      <c r="I17" s="4" t="s">
        <v>234</v>
      </c>
      <c r="J17" s="6">
        <v>25</v>
      </c>
      <c r="K17" s="6">
        <v>25</v>
      </c>
      <c r="L17" s="6">
        <v>25</v>
      </c>
      <c r="M17" s="6">
        <f t="shared" ref="M17:M30" si="3">K17</f>
        <v>25</v>
      </c>
      <c r="N17" s="6">
        <f t="shared" ref="N17:N29" si="4">G17</f>
        <v>26</v>
      </c>
      <c r="O17" s="6" t="s">
        <v>234</v>
      </c>
      <c r="P17" s="6">
        <v>25</v>
      </c>
      <c r="Q17" s="6">
        <v>25</v>
      </c>
      <c r="R17" s="6">
        <v>25</v>
      </c>
      <c r="S17" s="6">
        <v>25</v>
      </c>
      <c r="T17" s="6"/>
      <c r="U17" s="6"/>
      <c r="V17" s="6">
        <v>25</v>
      </c>
      <c r="W17" s="6">
        <v>25</v>
      </c>
      <c r="X17" s="6">
        <v>25</v>
      </c>
      <c r="Y17" s="6">
        <v>25</v>
      </c>
      <c r="Z17" s="6">
        <v>25</v>
      </c>
      <c r="AA17" s="6">
        <v>25</v>
      </c>
      <c r="AB17" s="6">
        <v>25</v>
      </c>
      <c r="AC17" s="6">
        <v>25</v>
      </c>
      <c r="AD17" s="6">
        <v>25</v>
      </c>
      <c r="AE17" s="6">
        <v>25</v>
      </c>
      <c r="AF17" s="6">
        <v>25</v>
      </c>
      <c r="AG17" s="6">
        <v>25</v>
      </c>
      <c r="AH17" s="6">
        <v>25</v>
      </c>
      <c r="AI17" s="6">
        <v>25</v>
      </c>
      <c r="AJ17" s="6">
        <v>25</v>
      </c>
      <c r="AK17" s="6">
        <v>25</v>
      </c>
      <c r="AL17" s="6">
        <v>25</v>
      </c>
      <c r="AM17" s="6">
        <v>25</v>
      </c>
      <c r="AN17" s="6">
        <v>25</v>
      </c>
      <c r="AO17" s="6">
        <v>25</v>
      </c>
      <c r="AP17" s="6">
        <v>25</v>
      </c>
      <c r="AQ17" s="6">
        <v>25</v>
      </c>
      <c r="AR17" s="6">
        <v>25</v>
      </c>
      <c r="AS17" s="6">
        <v>25</v>
      </c>
      <c r="AT17" s="6">
        <v>25</v>
      </c>
      <c r="AU17" s="6">
        <v>25</v>
      </c>
      <c r="AV17" s="6">
        <v>25</v>
      </c>
      <c r="AW17" s="6">
        <v>25</v>
      </c>
      <c r="AX17" s="6">
        <v>25</v>
      </c>
      <c r="AY17" s="6"/>
      <c r="AZ17" s="6"/>
      <c r="BA17" s="6"/>
      <c r="BB17" s="6"/>
      <c r="BC17" s="6"/>
      <c r="BD17" s="6"/>
      <c r="BE17" s="6"/>
      <c r="BF17" s="6"/>
      <c r="BG17" s="6">
        <v>25</v>
      </c>
      <c r="BH17" s="6">
        <v>25</v>
      </c>
    </row>
    <row r="18" spans="1:60" ht="15.95" customHeight="1" x14ac:dyDescent="0.25">
      <c r="A18" s="4">
        <f t="shared" si="1"/>
        <v>16</v>
      </c>
      <c r="B18" s="110" t="s">
        <v>238</v>
      </c>
      <c r="C18" s="5" t="s">
        <v>96</v>
      </c>
      <c r="D18" s="75">
        <v>0.05</v>
      </c>
      <c r="E18" s="4">
        <v>12</v>
      </c>
      <c r="F18" s="6">
        <v>30</v>
      </c>
      <c r="G18" s="6">
        <v>26</v>
      </c>
      <c r="H18" s="6">
        <v>25</v>
      </c>
      <c r="I18" s="4" t="s">
        <v>234</v>
      </c>
      <c r="J18" s="6">
        <v>25</v>
      </c>
      <c r="K18" s="6">
        <v>25</v>
      </c>
      <c r="L18" s="6">
        <v>25</v>
      </c>
      <c r="M18" s="6">
        <f t="shared" si="3"/>
        <v>25</v>
      </c>
      <c r="N18" s="6">
        <f t="shared" si="4"/>
        <v>26</v>
      </c>
      <c r="O18" s="6" t="s">
        <v>234</v>
      </c>
      <c r="P18" s="6">
        <v>25</v>
      </c>
      <c r="Q18" s="6">
        <v>25</v>
      </c>
      <c r="R18" s="6">
        <v>25</v>
      </c>
      <c r="S18" s="6">
        <v>25</v>
      </c>
      <c r="T18" s="6"/>
      <c r="U18" s="6"/>
      <c r="V18" s="6">
        <v>25</v>
      </c>
      <c r="W18" s="6">
        <v>25</v>
      </c>
      <c r="X18" s="6">
        <v>25</v>
      </c>
      <c r="Y18" s="6">
        <v>25</v>
      </c>
      <c r="Z18" s="6">
        <v>25</v>
      </c>
      <c r="AA18" s="6">
        <v>25</v>
      </c>
      <c r="AB18" s="6">
        <v>25</v>
      </c>
      <c r="AC18" s="6">
        <v>25</v>
      </c>
      <c r="AD18" s="6">
        <v>25</v>
      </c>
      <c r="AE18" s="6">
        <v>25</v>
      </c>
      <c r="AF18" s="6">
        <v>25</v>
      </c>
      <c r="AG18" s="6">
        <v>25</v>
      </c>
      <c r="AH18" s="6">
        <v>25</v>
      </c>
      <c r="AI18" s="6">
        <v>25</v>
      </c>
      <c r="AJ18" s="6">
        <v>25</v>
      </c>
      <c r="AK18" s="6">
        <v>25</v>
      </c>
      <c r="AL18" s="6">
        <v>25</v>
      </c>
      <c r="AM18" s="6">
        <v>25</v>
      </c>
      <c r="AN18" s="6">
        <v>25</v>
      </c>
      <c r="AO18" s="6">
        <v>25</v>
      </c>
      <c r="AP18" s="6">
        <v>25</v>
      </c>
      <c r="AQ18" s="6">
        <v>25</v>
      </c>
      <c r="AR18" s="6">
        <v>25</v>
      </c>
      <c r="AS18" s="6">
        <v>25</v>
      </c>
      <c r="AT18" s="6">
        <v>25</v>
      </c>
      <c r="AU18" s="6">
        <v>25</v>
      </c>
      <c r="AV18" s="6">
        <v>25</v>
      </c>
      <c r="AW18" s="6">
        <v>25</v>
      </c>
      <c r="AX18" s="6">
        <v>25</v>
      </c>
      <c r="AY18" s="6"/>
      <c r="AZ18" s="6"/>
      <c r="BA18" s="6"/>
      <c r="BB18" s="6"/>
      <c r="BC18" s="6"/>
      <c r="BD18" s="6"/>
      <c r="BE18" s="6"/>
      <c r="BF18" s="6"/>
      <c r="BG18" s="6">
        <v>25</v>
      </c>
      <c r="BH18" s="6">
        <v>25</v>
      </c>
    </row>
    <row r="19" spans="1:60" ht="15.95" customHeight="1" x14ac:dyDescent="0.25">
      <c r="A19" s="4">
        <f t="shared" si="1"/>
        <v>17</v>
      </c>
      <c r="B19" s="110" t="s">
        <v>238</v>
      </c>
      <c r="C19" s="5" t="s">
        <v>49</v>
      </c>
      <c r="D19" s="75">
        <v>0.05</v>
      </c>
      <c r="E19" s="4">
        <v>10</v>
      </c>
      <c r="F19" s="6">
        <v>28</v>
      </c>
      <c r="G19" s="6">
        <v>23</v>
      </c>
      <c r="H19" s="6">
        <v>21</v>
      </c>
      <c r="I19" s="4" t="s">
        <v>23</v>
      </c>
      <c r="J19" s="6">
        <v>22.400000000000002</v>
      </c>
      <c r="K19" s="6">
        <v>22.400000000000002</v>
      </c>
      <c r="L19" s="6">
        <v>22.400000000000002</v>
      </c>
      <c r="M19" s="6">
        <f t="shared" si="3"/>
        <v>22.400000000000002</v>
      </c>
      <c r="N19" s="6">
        <f t="shared" si="4"/>
        <v>23</v>
      </c>
      <c r="O19" s="6" t="s">
        <v>23</v>
      </c>
      <c r="P19" s="6">
        <v>21</v>
      </c>
      <c r="Q19" s="6">
        <v>21</v>
      </c>
      <c r="R19" s="6">
        <v>21</v>
      </c>
      <c r="S19" s="6">
        <v>21</v>
      </c>
      <c r="T19" s="6"/>
      <c r="U19" s="6"/>
      <c r="V19" s="6">
        <v>21</v>
      </c>
      <c r="W19" s="6">
        <v>21</v>
      </c>
      <c r="X19" s="6">
        <v>21</v>
      </c>
      <c r="Y19" s="6">
        <v>21</v>
      </c>
      <c r="Z19" s="6">
        <v>21</v>
      </c>
      <c r="AA19" s="6">
        <v>21</v>
      </c>
      <c r="AB19" s="6">
        <v>21</v>
      </c>
      <c r="AC19" s="6">
        <v>21</v>
      </c>
      <c r="AD19" s="6">
        <v>21</v>
      </c>
      <c r="AE19" s="6">
        <v>21</v>
      </c>
      <c r="AF19" s="6">
        <v>21</v>
      </c>
      <c r="AG19" s="6">
        <v>21</v>
      </c>
      <c r="AH19" s="6">
        <v>21</v>
      </c>
      <c r="AI19" s="6">
        <v>21</v>
      </c>
      <c r="AJ19" s="6">
        <v>21</v>
      </c>
      <c r="AK19" s="6">
        <v>21</v>
      </c>
      <c r="AL19" s="6">
        <v>21</v>
      </c>
      <c r="AM19" s="6">
        <v>21</v>
      </c>
      <c r="AN19" s="6">
        <v>21</v>
      </c>
      <c r="AO19" s="6">
        <v>21</v>
      </c>
      <c r="AP19" s="6">
        <v>21</v>
      </c>
      <c r="AQ19" s="6">
        <v>21</v>
      </c>
      <c r="AR19" s="6">
        <v>21</v>
      </c>
      <c r="AS19" s="6">
        <v>21</v>
      </c>
      <c r="AT19" s="6">
        <v>21</v>
      </c>
      <c r="AU19" s="6">
        <v>21</v>
      </c>
      <c r="AV19" s="6">
        <v>21</v>
      </c>
      <c r="AW19" s="6">
        <v>21</v>
      </c>
      <c r="AX19" s="6">
        <v>21</v>
      </c>
      <c r="AY19" s="6"/>
      <c r="AZ19" s="6"/>
      <c r="BA19" s="6"/>
      <c r="BB19" s="6"/>
      <c r="BC19" s="6"/>
      <c r="BD19" s="6"/>
      <c r="BE19" s="6"/>
      <c r="BF19" s="6"/>
      <c r="BG19" s="6">
        <v>21</v>
      </c>
      <c r="BH19" s="6">
        <v>21</v>
      </c>
    </row>
    <row r="20" spans="1:60" ht="15.95" customHeight="1" x14ac:dyDescent="0.25">
      <c r="A20" s="4">
        <f t="shared" si="1"/>
        <v>18</v>
      </c>
      <c r="B20" s="110" t="s">
        <v>238</v>
      </c>
      <c r="C20" s="5" t="s">
        <v>52</v>
      </c>
      <c r="D20" s="75">
        <v>0.05</v>
      </c>
      <c r="E20" s="4">
        <v>10</v>
      </c>
      <c r="F20" s="6">
        <v>35</v>
      </c>
      <c r="G20" s="6">
        <v>30</v>
      </c>
      <c r="H20" s="6">
        <v>28</v>
      </c>
      <c r="I20" s="4" t="s">
        <v>23</v>
      </c>
      <c r="J20" s="6">
        <v>28</v>
      </c>
      <c r="K20" s="6">
        <v>28</v>
      </c>
      <c r="L20" s="6">
        <v>28</v>
      </c>
      <c r="M20" s="6">
        <f t="shared" si="3"/>
        <v>28</v>
      </c>
      <c r="N20" s="6">
        <f t="shared" si="4"/>
        <v>30</v>
      </c>
      <c r="O20" s="6" t="s">
        <v>23</v>
      </c>
      <c r="P20" s="6">
        <v>28</v>
      </c>
      <c r="Q20" s="6">
        <v>28</v>
      </c>
      <c r="R20" s="6">
        <v>28</v>
      </c>
      <c r="S20" s="6">
        <v>28</v>
      </c>
      <c r="T20" s="6"/>
      <c r="U20" s="6"/>
      <c r="V20" s="6">
        <v>28</v>
      </c>
      <c r="W20" s="6">
        <v>28</v>
      </c>
      <c r="X20" s="6">
        <v>28</v>
      </c>
      <c r="Y20" s="6">
        <v>28</v>
      </c>
      <c r="Z20" s="6">
        <v>28</v>
      </c>
      <c r="AA20" s="6">
        <v>28</v>
      </c>
      <c r="AB20" s="6">
        <v>28</v>
      </c>
      <c r="AC20" s="6">
        <v>28</v>
      </c>
      <c r="AD20" s="6">
        <v>28</v>
      </c>
      <c r="AE20" s="6">
        <v>28</v>
      </c>
      <c r="AF20" s="6">
        <v>28</v>
      </c>
      <c r="AG20" s="6">
        <v>28</v>
      </c>
      <c r="AH20" s="6">
        <v>28</v>
      </c>
      <c r="AI20" s="6">
        <v>28</v>
      </c>
      <c r="AJ20" s="6">
        <v>28</v>
      </c>
      <c r="AK20" s="6">
        <v>28</v>
      </c>
      <c r="AL20" s="6">
        <v>28</v>
      </c>
      <c r="AM20" s="6">
        <v>28</v>
      </c>
      <c r="AN20" s="6">
        <v>28</v>
      </c>
      <c r="AO20" s="6">
        <v>28</v>
      </c>
      <c r="AP20" s="6">
        <v>28</v>
      </c>
      <c r="AQ20" s="6">
        <v>28</v>
      </c>
      <c r="AR20" s="6">
        <v>28</v>
      </c>
      <c r="AS20" s="6">
        <v>28</v>
      </c>
      <c r="AT20" s="6">
        <v>28</v>
      </c>
      <c r="AU20" s="6">
        <v>28</v>
      </c>
      <c r="AV20" s="6">
        <v>28</v>
      </c>
      <c r="AW20" s="6">
        <v>28</v>
      </c>
      <c r="AX20" s="6">
        <v>28</v>
      </c>
      <c r="AY20" s="6"/>
      <c r="AZ20" s="6"/>
      <c r="BA20" s="6"/>
      <c r="BB20" s="6"/>
      <c r="BC20" s="6"/>
      <c r="BD20" s="6"/>
      <c r="BE20" s="6"/>
      <c r="BF20" s="6"/>
      <c r="BG20" s="6">
        <v>28</v>
      </c>
      <c r="BH20" s="6">
        <v>28</v>
      </c>
    </row>
    <row r="21" spans="1:60" ht="15.95" customHeight="1" x14ac:dyDescent="0.25">
      <c r="A21" s="4">
        <f t="shared" si="1"/>
        <v>19</v>
      </c>
      <c r="B21" s="110" t="s">
        <v>238</v>
      </c>
      <c r="C21" s="5" t="s">
        <v>54</v>
      </c>
      <c r="D21" s="75">
        <v>0.05</v>
      </c>
      <c r="E21" s="4">
        <v>10</v>
      </c>
      <c r="F21" s="6">
        <v>18</v>
      </c>
      <c r="G21" s="6">
        <v>14.5</v>
      </c>
      <c r="H21" s="6">
        <v>13.13</v>
      </c>
      <c r="I21" s="4" t="s">
        <v>23</v>
      </c>
      <c r="J21" s="6">
        <v>14.4</v>
      </c>
      <c r="K21" s="6">
        <v>14.4</v>
      </c>
      <c r="L21" s="6">
        <v>14.4</v>
      </c>
      <c r="M21" s="6">
        <f t="shared" si="3"/>
        <v>14.4</v>
      </c>
      <c r="N21" s="6">
        <f t="shared" si="4"/>
        <v>14.5</v>
      </c>
      <c r="O21" s="6" t="s">
        <v>23</v>
      </c>
      <c r="P21" s="6">
        <v>13.13</v>
      </c>
      <c r="Q21" s="6">
        <v>13.13</v>
      </c>
      <c r="R21" s="6">
        <v>13.13</v>
      </c>
      <c r="S21" s="6">
        <v>13.13</v>
      </c>
      <c r="T21" s="6"/>
      <c r="U21" s="6"/>
      <c r="V21" s="6">
        <v>13.13</v>
      </c>
      <c r="W21" s="6">
        <v>13.13</v>
      </c>
      <c r="X21" s="6">
        <v>13.13</v>
      </c>
      <c r="Y21" s="6">
        <v>13.13</v>
      </c>
      <c r="Z21" s="6">
        <v>13.13</v>
      </c>
      <c r="AA21" s="6">
        <v>13.13</v>
      </c>
      <c r="AB21" s="6">
        <v>13.13</v>
      </c>
      <c r="AC21" s="6">
        <v>13.13</v>
      </c>
      <c r="AD21" s="6">
        <v>13.13</v>
      </c>
      <c r="AE21" s="6">
        <v>13.13</v>
      </c>
      <c r="AF21" s="6">
        <v>13.13</v>
      </c>
      <c r="AG21" s="6">
        <v>13.13</v>
      </c>
      <c r="AH21" s="6">
        <v>13.13</v>
      </c>
      <c r="AI21" s="6">
        <v>13.13</v>
      </c>
      <c r="AJ21" s="6">
        <v>13.13</v>
      </c>
      <c r="AK21" s="6">
        <v>13.13</v>
      </c>
      <c r="AL21" s="6">
        <v>13.13</v>
      </c>
      <c r="AM21" s="6">
        <v>13.13</v>
      </c>
      <c r="AN21" s="6">
        <v>13.13</v>
      </c>
      <c r="AO21" s="6">
        <v>13.13</v>
      </c>
      <c r="AP21" s="6">
        <v>13.13</v>
      </c>
      <c r="AQ21" s="6">
        <v>13.13</v>
      </c>
      <c r="AR21" s="6">
        <v>13.13</v>
      </c>
      <c r="AS21" s="6">
        <v>13.13</v>
      </c>
      <c r="AT21" s="6">
        <v>13.13</v>
      </c>
      <c r="AU21" s="6">
        <v>13.13</v>
      </c>
      <c r="AV21" s="6">
        <v>13.13</v>
      </c>
      <c r="AW21" s="6">
        <v>13.13</v>
      </c>
      <c r="AX21" s="6">
        <v>13.13</v>
      </c>
      <c r="AY21" s="6"/>
      <c r="AZ21" s="6"/>
      <c r="BA21" s="6"/>
      <c r="BB21" s="6"/>
      <c r="BC21" s="6"/>
      <c r="BD21" s="6"/>
      <c r="BE21" s="6"/>
      <c r="BF21" s="6"/>
      <c r="BG21" s="6">
        <v>13.13</v>
      </c>
      <c r="BH21" s="6">
        <v>13.13</v>
      </c>
    </row>
    <row r="22" spans="1:60" ht="15.95" customHeight="1" x14ac:dyDescent="0.25">
      <c r="A22" s="4">
        <f t="shared" si="1"/>
        <v>20</v>
      </c>
      <c r="B22" s="110" t="s">
        <v>239</v>
      </c>
      <c r="C22" s="5" t="s">
        <v>55</v>
      </c>
      <c r="D22" s="75">
        <v>0.05</v>
      </c>
      <c r="E22" s="4">
        <v>12</v>
      </c>
      <c r="F22" s="6">
        <v>40</v>
      </c>
      <c r="G22" s="6">
        <v>35</v>
      </c>
      <c r="H22" s="6">
        <v>32</v>
      </c>
      <c r="I22" s="4" t="s">
        <v>23</v>
      </c>
      <c r="J22" s="6">
        <v>32</v>
      </c>
      <c r="K22" s="6">
        <v>32</v>
      </c>
      <c r="L22" s="6">
        <v>32</v>
      </c>
      <c r="M22" s="6">
        <f t="shared" si="3"/>
        <v>32</v>
      </c>
      <c r="N22" s="6">
        <f t="shared" si="4"/>
        <v>35</v>
      </c>
      <c r="O22" s="6" t="s">
        <v>23</v>
      </c>
      <c r="P22" s="6">
        <v>32</v>
      </c>
      <c r="Q22" s="6">
        <v>32</v>
      </c>
      <c r="R22" s="6">
        <v>32</v>
      </c>
      <c r="S22" s="6">
        <v>32</v>
      </c>
      <c r="T22" s="6"/>
      <c r="U22" s="6"/>
      <c r="V22" s="6">
        <v>32</v>
      </c>
      <c r="W22" s="6">
        <v>32</v>
      </c>
      <c r="X22" s="6">
        <v>32</v>
      </c>
      <c r="Y22" s="6">
        <v>32</v>
      </c>
      <c r="Z22" s="6">
        <v>32</v>
      </c>
      <c r="AA22" s="6">
        <v>32</v>
      </c>
      <c r="AB22" s="6">
        <v>32</v>
      </c>
      <c r="AC22" s="6">
        <v>32</v>
      </c>
      <c r="AD22" s="6">
        <v>32</v>
      </c>
      <c r="AE22" s="6">
        <v>32</v>
      </c>
      <c r="AF22" s="6">
        <v>32</v>
      </c>
      <c r="AG22" s="6">
        <v>32</v>
      </c>
      <c r="AH22" s="6">
        <v>32</v>
      </c>
      <c r="AI22" s="6">
        <v>32</v>
      </c>
      <c r="AJ22" s="6">
        <v>32</v>
      </c>
      <c r="AK22" s="6">
        <v>32</v>
      </c>
      <c r="AL22" s="6">
        <v>32</v>
      </c>
      <c r="AM22" s="6">
        <v>32</v>
      </c>
      <c r="AN22" s="6">
        <v>32</v>
      </c>
      <c r="AO22" s="6">
        <v>32</v>
      </c>
      <c r="AP22" s="6">
        <v>32</v>
      </c>
      <c r="AQ22" s="6">
        <v>32</v>
      </c>
      <c r="AR22" s="6">
        <v>32</v>
      </c>
      <c r="AS22" s="6">
        <v>32</v>
      </c>
      <c r="AT22" s="6">
        <v>32</v>
      </c>
      <c r="AU22" s="6">
        <v>32</v>
      </c>
      <c r="AV22" s="6">
        <v>32</v>
      </c>
      <c r="AW22" s="6">
        <v>32</v>
      </c>
      <c r="AX22" s="6">
        <v>32</v>
      </c>
      <c r="AY22" s="6"/>
      <c r="AZ22" s="6"/>
      <c r="BA22" s="6"/>
      <c r="BB22" s="6"/>
      <c r="BC22" s="6"/>
      <c r="BD22" s="6"/>
      <c r="BE22" s="6"/>
      <c r="BF22" s="6"/>
      <c r="BG22" s="6">
        <v>32</v>
      </c>
      <c r="BH22" s="6">
        <v>32</v>
      </c>
    </row>
    <row r="23" spans="1:60" ht="15.95" customHeight="1" x14ac:dyDescent="0.25">
      <c r="A23" s="4">
        <f t="shared" si="1"/>
        <v>21</v>
      </c>
      <c r="B23" s="110" t="s">
        <v>239</v>
      </c>
      <c r="C23" s="5" t="s">
        <v>57</v>
      </c>
      <c r="D23" s="75">
        <v>0.05</v>
      </c>
      <c r="E23" s="4">
        <v>6</v>
      </c>
      <c r="F23" s="6">
        <v>40</v>
      </c>
      <c r="G23" s="6">
        <v>35</v>
      </c>
      <c r="H23" s="6">
        <v>32</v>
      </c>
      <c r="I23" s="4" t="s">
        <v>23</v>
      </c>
      <c r="J23" s="6">
        <v>32</v>
      </c>
      <c r="K23" s="6">
        <v>32</v>
      </c>
      <c r="L23" s="6">
        <v>32</v>
      </c>
      <c r="M23" s="6">
        <f t="shared" si="3"/>
        <v>32</v>
      </c>
      <c r="N23" s="6">
        <f t="shared" si="4"/>
        <v>35</v>
      </c>
      <c r="O23" s="6" t="s">
        <v>23</v>
      </c>
      <c r="P23" s="6">
        <v>32</v>
      </c>
      <c r="Q23" s="6">
        <v>32</v>
      </c>
      <c r="R23" s="6">
        <v>32</v>
      </c>
      <c r="S23" s="6">
        <v>32</v>
      </c>
      <c r="T23" s="6"/>
      <c r="U23" s="6"/>
      <c r="V23" s="6">
        <v>32</v>
      </c>
      <c r="W23" s="6">
        <v>32</v>
      </c>
      <c r="X23" s="6">
        <v>32</v>
      </c>
      <c r="Y23" s="6">
        <v>32</v>
      </c>
      <c r="Z23" s="6">
        <v>32</v>
      </c>
      <c r="AA23" s="6">
        <v>32</v>
      </c>
      <c r="AB23" s="6">
        <v>32</v>
      </c>
      <c r="AC23" s="6">
        <v>32</v>
      </c>
      <c r="AD23" s="6">
        <v>32</v>
      </c>
      <c r="AE23" s="6">
        <v>32</v>
      </c>
      <c r="AF23" s="6">
        <v>32</v>
      </c>
      <c r="AG23" s="6">
        <v>32</v>
      </c>
      <c r="AH23" s="6">
        <v>32</v>
      </c>
      <c r="AI23" s="6">
        <v>32</v>
      </c>
      <c r="AJ23" s="6">
        <v>32</v>
      </c>
      <c r="AK23" s="6">
        <v>32</v>
      </c>
      <c r="AL23" s="6">
        <v>32</v>
      </c>
      <c r="AM23" s="6">
        <v>32</v>
      </c>
      <c r="AN23" s="6">
        <v>32</v>
      </c>
      <c r="AO23" s="6">
        <v>32</v>
      </c>
      <c r="AP23" s="6">
        <v>32</v>
      </c>
      <c r="AQ23" s="6">
        <v>32</v>
      </c>
      <c r="AR23" s="6">
        <v>32</v>
      </c>
      <c r="AS23" s="6">
        <v>32</v>
      </c>
      <c r="AT23" s="6">
        <v>32</v>
      </c>
      <c r="AU23" s="6">
        <v>32</v>
      </c>
      <c r="AV23" s="6">
        <v>32</v>
      </c>
      <c r="AW23" s="6">
        <v>32</v>
      </c>
      <c r="AX23" s="6">
        <v>32</v>
      </c>
      <c r="AY23" s="6"/>
      <c r="AZ23" s="6"/>
      <c r="BA23" s="6"/>
      <c r="BB23" s="6"/>
      <c r="BC23" s="6"/>
      <c r="BD23" s="6"/>
      <c r="BE23" s="6"/>
      <c r="BF23" s="6"/>
      <c r="BG23" s="6">
        <v>32</v>
      </c>
      <c r="BH23" s="6">
        <v>32</v>
      </c>
    </row>
    <row r="24" spans="1:60" ht="15.95" customHeight="1" x14ac:dyDescent="0.25">
      <c r="A24" s="4">
        <f t="shared" si="1"/>
        <v>22</v>
      </c>
      <c r="B24" s="110" t="s">
        <v>239</v>
      </c>
      <c r="C24" s="5" t="s">
        <v>59</v>
      </c>
      <c r="D24" s="75">
        <v>0.05</v>
      </c>
      <c r="E24" s="4">
        <v>1</v>
      </c>
      <c r="F24" s="6">
        <v>120</v>
      </c>
      <c r="G24" s="6">
        <v>104.4</v>
      </c>
      <c r="H24" s="6">
        <v>96</v>
      </c>
      <c r="I24" s="4" t="s">
        <v>23</v>
      </c>
      <c r="J24" s="6">
        <v>96</v>
      </c>
      <c r="K24" s="6">
        <v>96</v>
      </c>
      <c r="L24" s="6">
        <v>96</v>
      </c>
      <c r="M24" s="6">
        <f t="shared" si="3"/>
        <v>96</v>
      </c>
      <c r="N24" s="6">
        <f t="shared" si="4"/>
        <v>104.4</v>
      </c>
      <c r="O24" s="6" t="s">
        <v>23</v>
      </c>
      <c r="P24" s="6">
        <v>96</v>
      </c>
      <c r="Q24" s="6">
        <v>96</v>
      </c>
      <c r="R24" s="6">
        <v>96</v>
      </c>
      <c r="S24" s="6">
        <v>96</v>
      </c>
      <c r="T24" s="6"/>
      <c r="U24" s="6"/>
      <c r="V24" s="6">
        <v>96</v>
      </c>
      <c r="W24" s="6">
        <v>96</v>
      </c>
      <c r="X24" s="6">
        <v>96</v>
      </c>
      <c r="Y24" s="6">
        <v>96</v>
      </c>
      <c r="Z24" s="6">
        <v>96</v>
      </c>
      <c r="AA24" s="6">
        <v>96</v>
      </c>
      <c r="AB24" s="6">
        <v>96</v>
      </c>
      <c r="AC24" s="6">
        <v>96</v>
      </c>
      <c r="AD24" s="6">
        <v>96</v>
      </c>
      <c r="AE24" s="6">
        <v>96</v>
      </c>
      <c r="AF24" s="6">
        <v>96</v>
      </c>
      <c r="AG24" s="6">
        <v>96</v>
      </c>
      <c r="AH24" s="6">
        <v>96</v>
      </c>
      <c r="AI24" s="6">
        <v>96</v>
      </c>
      <c r="AJ24" s="6">
        <v>96</v>
      </c>
      <c r="AK24" s="6">
        <v>96</v>
      </c>
      <c r="AL24" s="6">
        <v>96</v>
      </c>
      <c r="AM24" s="6">
        <v>96</v>
      </c>
      <c r="AN24" s="6">
        <v>96</v>
      </c>
      <c r="AO24" s="6">
        <v>96</v>
      </c>
      <c r="AP24" s="6">
        <v>96</v>
      </c>
      <c r="AQ24" s="6">
        <v>96</v>
      </c>
      <c r="AR24" s="6">
        <v>96</v>
      </c>
      <c r="AS24" s="6">
        <v>96</v>
      </c>
      <c r="AT24" s="6">
        <v>96</v>
      </c>
      <c r="AU24" s="6">
        <v>96</v>
      </c>
      <c r="AV24" s="6">
        <v>96</v>
      </c>
      <c r="AW24" s="6">
        <v>96</v>
      </c>
      <c r="AX24" s="6">
        <v>96</v>
      </c>
      <c r="AY24" s="6"/>
      <c r="AZ24" s="6"/>
      <c r="BA24" s="6"/>
      <c r="BB24" s="6"/>
      <c r="BC24" s="6"/>
      <c r="BD24" s="6"/>
      <c r="BE24" s="6"/>
      <c r="BF24" s="6"/>
      <c r="BG24" s="6">
        <v>96</v>
      </c>
      <c r="BH24" s="6">
        <v>96</v>
      </c>
    </row>
    <row r="25" spans="1:60" ht="15.95" customHeight="1" x14ac:dyDescent="0.25">
      <c r="A25" s="4">
        <f t="shared" si="1"/>
        <v>23</v>
      </c>
      <c r="B25" s="110" t="s">
        <v>239</v>
      </c>
      <c r="C25" s="5" t="s">
        <v>60</v>
      </c>
      <c r="D25" s="75">
        <v>0.05</v>
      </c>
      <c r="E25" s="4">
        <v>1</v>
      </c>
      <c r="F25" s="6">
        <v>120</v>
      </c>
      <c r="G25" s="6">
        <v>104.4</v>
      </c>
      <c r="H25" s="6">
        <v>96</v>
      </c>
      <c r="I25" s="4" t="s">
        <v>23</v>
      </c>
      <c r="J25" s="6">
        <v>96</v>
      </c>
      <c r="K25" s="6">
        <v>96</v>
      </c>
      <c r="L25" s="6">
        <v>96</v>
      </c>
      <c r="M25" s="6">
        <f t="shared" si="3"/>
        <v>96</v>
      </c>
      <c r="N25" s="6">
        <f t="shared" si="4"/>
        <v>104.4</v>
      </c>
      <c r="O25" s="6" t="s">
        <v>23</v>
      </c>
      <c r="P25" s="6">
        <v>96</v>
      </c>
      <c r="Q25" s="6">
        <v>96</v>
      </c>
      <c r="R25" s="6">
        <v>96</v>
      </c>
      <c r="S25" s="6">
        <v>96</v>
      </c>
      <c r="T25" s="6"/>
      <c r="U25" s="6"/>
      <c r="V25" s="6">
        <v>96</v>
      </c>
      <c r="W25" s="6">
        <v>96</v>
      </c>
      <c r="X25" s="6">
        <v>96</v>
      </c>
      <c r="Y25" s="6">
        <v>96</v>
      </c>
      <c r="Z25" s="6">
        <v>96</v>
      </c>
      <c r="AA25" s="6">
        <v>96</v>
      </c>
      <c r="AB25" s="6">
        <v>96</v>
      </c>
      <c r="AC25" s="6">
        <v>96</v>
      </c>
      <c r="AD25" s="6">
        <v>96</v>
      </c>
      <c r="AE25" s="6">
        <v>96</v>
      </c>
      <c r="AF25" s="6">
        <v>96</v>
      </c>
      <c r="AG25" s="6">
        <v>96</v>
      </c>
      <c r="AH25" s="6">
        <v>96</v>
      </c>
      <c r="AI25" s="6">
        <v>96</v>
      </c>
      <c r="AJ25" s="6">
        <v>96</v>
      </c>
      <c r="AK25" s="6">
        <v>96</v>
      </c>
      <c r="AL25" s="6">
        <v>96</v>
      </c>
      <c r="AM25" s="6">
        <v>96</v>
      </c>
      <c r="AN25" s="6">
        <v>96</v>
      </c>
      <c r="AO25" s="6">
        <v>96</v>
      </c>
      <c r="AP25" s="6">
        <v>96</v>
      </c>
      <c r="AQ25" s="6">
        <v>96</v>
      </c>
      <c r="AR25" s="6">
        <v>96</v>
      </c>
      <c r="AS25" s="6">
        <v>96</v>
      </c>
      <c r="AT25" s="6">
        <v>96</v>
      </c>
      <c r="AU25" s="6">
        <v>96</v>
      </c>
      <c r="AV25" s="6">
        <v>96</v>
      </c>
      <c r="AW25" s="6">
        <v>96</v>
      </c>
      <c r="AX25" s="6">
        <v>96</v>
      </c>
      <c r="AY25" s="6"/>
      <c r="AZ25" s="6"/>
      <c r="BA25" s="6"/>
      <c r="BB25" s="6"/>
      <c r="BC25" s="6"/>
      <c r="BD25" s="6"/>
      <c r="BE25" s="6"/>
      <c r="BF25" s="6"/>
      <c r="BG25" s="6">
        <v>96</v>
      </c>
      <c r="BH25" s="6">
        <v>96</v>
      </c>
    </row>
    <row r="26" spans="1:60" ht="15.95" customHeight="1" x14ac:dyDescent="0.25">
      <c r="A26" s="4">
        <f t="shared" si="1"/>
        <v>24</v>
      </c>
      <c r="B26" s="110" t="s">
        <v>239</v>
      </c>
      <c r="C26" s="5" t="s">
        <v>97</v>
      </c>
      <c r="D26" s="75">
        <v>0.05</v>
      </c>
      <c r="E26" s="4">
        <v>12</v>
      </c>
      <c r="F26" s="6">
        <v>30</v>
      </c>
      <c r="G26" s="6">
        <v>27</v>
      </c>
      <c r="H26" s="6">
        <v>25</v>
      </c>
      <c r="I26" s="4" t="s">
        <v>23</v>
      </c>
      <c r="J26" s="6">
        <v>24</v>
      </c>
      <c r="K26" s="6">
        <v>24</v>
      </c>
      <c r="L26" s="6">
        <v>24</v>
      </c>
      <c r="M26" s="6">
        <f t="shared" si="3"/>
        <v>24</v>
      </c>
      <c r="N26" s="6">
        <f t="shared" si="4"/>
        <v>27</v>
      </c>
      <c r="O26" s="6" t="s">
        <v>23</v>
      </c>
      <c r="P26" s="6">
        <v>25</v>
      </c>
      <c r="Q26" s="6">
        <v>25</v>
      </c>
      <c r="R26" s="6">
        <v>25</v>
      </c>
      <c r="S26" s="6">
        <v>25</v>
      </c>
      <c r="T26" s="6"/>
      <c r="U26" s="6"/>
      <c r="V26" s="6">
        <v>25</v>
      </c>
      <c r="W26" s="6">
        <v>25</v>
      </c>
      <c r="X26" s="6">
        <v>25</v>
      </c>
      <c r="Y26" s="6">
        <v>25</v>
      </c>
      <c r="Z26" s="6">
        <v>25</v>
      </c>
      <c r="AA26" s="6">
        <v>25</v>
      </c>
      <c r="AB26" s="6">
        <v>25</v>
      </c>
      <c r="AC26" s="6">
        <v>25</v>
      </c>
      <c r="AD26" s="6">
        <v>25</v>
      </c>
      <c r="AE26" s="6">
        <v>25</v>
      </c>
      <c r="AF26" s="6">
        <v>25</v>
      </c>
      <c r="AG26" s="6">
        <v>25</v>
      </c>
      <c r="AH26" s="6">
        <v>25</v>
      </c>
      <c r="AI26" s="6">
        <v>25</v>
      </c>
      <c r="AJ26" s="6">
        <v>25</v>
      </c>
      <c r="AK26" s="6">
        <v>25</v>
      </c>
      <c r="AL26" s="6">
        <v>25</v>
      </c>
      <c r="AM26" s="6">
        <v>25</v>
      </c>
      <c r="AN26" s="6">
        <v>25</v>
      </c>
      <c r="AO26" s="6">
        <v>25</v>
      </c>
      <c r="AP26" s="6">
        <v>25</v>
      </c>
      <c r="AQ26" s="6">
        <v>25</v>
      </c>
      <c r="AR26" s="6">
        <v>25</v>
      </c>
      <c r="AS26" s="6">
        <v>25</v>
      </c>
      <c r="AT26" s="6">
        <v>25</v>
      </c>
      <c r="AU26" s="6">
        <v>25</v>
      </c>
      <c r="AV26" s="6">
        <v>25</v>
      </c>
      <c r="AW26" s="6">
        <v>25</v>
      </c>
      <c r="AX26" s="6">
        <v>25</v>
      </c>
      <c r="AY26" s="6"/>
      <c r="AZ26" s="6"/>
      <c r="BA26" s="6"/>
      <c r="BB26" s="6"/>
      <c r="BC26" s="6"/>
      <c r="BD26" s="6"/>
      <c r="BE26" s="6"/>
      <c r="BF26" s="6"/>
      <c r="BG26" s="6">
        <v>25</v>
      </c>
      <c r="BH26" s="6">
        <v>25</v>
      </c>
    </row>
    <row r="27" spans="1:60" ht="15.95" customHeight="1" x14ac:dyDescent="0.25">
      <c r="A27" s="4">
        <f t="shared" si="1"/>
        <v>25</v>
      </c>
      <c r="B27" s="110" t="s">
        <v>240</v>
      </c>
      <c r="C27" s="5" t="s">
        <v>63</v>
      </c>
      <c r="D27" s="75" t="s">
        <v>23</v>
      </c>
      <c r="E27" s="4">
        <v>1</v>
      </c>
      <c r="F27" s="6">
        <v>98</v>
      </c>
      <c r="G27" s="6">
        <v>84.549999999999983</v>
      </c>
      <c r="H27" s="6">
        <v>81.167999999999978</v>
      </c>
      <c r="I27" s="4" t="s">
        <v>23</v>
      </c>
      <c r="J27" s="6">
        <v>82.65</v>
      </c>
      <c r="K27" s="6">
        <v>81.167999999999978</v>
      </c>
      <c r="L27" s="6">
        <v>80.36</v>
      </c>
      <c r="M27" s="6">
        <f t="shared" si="3"/>
        <v>81.167999999999978</v>
      </c>
      <c r="N27" s="6">
        <f t="shared" si="4"/>
        <v>84.549999999999983</v>
      </c>
      <c r="O27" s="6"/>
      <c r="P27" s="6">
        <v>81.167999999999978</v>
      </c>
      <c r="Q27" s="6">
        <v>81.167999999999978</v>
      </c>
      <c r="R27" s="6">
        <v>81.167999999999978</v>
      </c>
      <c r="S27" s="6">
        <v>81.167999999999978</v>
      </c>
      <c r="T27" s="6"/>
      <c r="U27" s="6"/>
      <c r="V27" s="6">
        <v>81.167999999999978</v>
      </c>
      <c r="W27" s="6">
        <v>81.167999999999978</v>
      </c>
      <c r="X27" s="6">
        <v>81.167999999999978</v>
      </c>
      <c r="Y27" s="6">
        <v>81.167999999999978</v>
      </c>
      <c r="Z27" s="6">
        <v>81.167999999999978</v>
      </c>
      <c r="AA27" s="6">
        <v>81.167999999999978</v>
      </c>
      <c r="AB27" s="6">
        <v>81.167999999999978</v>
      </c>
      <c r="AC27" s="6">
        <v>81.167999999999978</v>
      </c>
      <c r="AD27" s="6">
        <v>81.167999999999978</v>
      </c>
      <c r="AE27" s="6">
        <v>81.167999999999978</v>
      </c>
      <c r="AF27" s="6">
        <v>81.167999999999978</v>
      </c>
      <c r="AG27" s="6">
        <v>81.167999999999978</v>
      </c>
      <c r="AH27" s="6">
        <v>81.167999999999978</v>
      </c>
      <c r="AI27" s="6">
        <v>81.167999999999978</v>
      </c>
      <c r="AJ27" s="6">
        <v>81.167999999999978</v>
      </c>
      <c r="AK27" s="6">
        <v>81.167999999999978</v>
      </c>
      <c r="AL27" s="6">
        <v>81.167999999999978</v>
      </c>
      <c r="AM27" s="6">
        <v>81.167999999999978</v>
      </c>
      <c r="AN27" s="6">
        <v>81.167999999999978</v>
      </c>
      <c r="AO27" s="6">
        <v>81.167999999999978</v>
      </c>
      <c r="AP27" s="6">
        <v>81.167999999999978</v>
      </c>
      <c r="AQ27" s="6">
        <v>81.167999999999978</v>
      </c>
      <c r="AR27" s="6">
        <v>81.167999999999978</v>
      </c>
      <c r="AS27" s="6">
        <v>81.167999999999978</v>
      </c>
      <c r="AT27" s="6">
        <v>81.167999999999978</v>
      </c>
      <c r="AU27" s="6">
        <v>81.167999999999978</v>
      </c>
      <c r="AV27" s="6">
        <v>81.167999999999978</v>
      </c>
      <c r="AW27" s="6">
        <v>81.167999999999978</v>
      </c>
      <c r="AX27" s="6">
        <v>81.167999999999978</v>
      </c>
      <c r="AY27" s="6"/>
      <c r="AZ27" s="6"/>
      <c r="BA27" s="6"/>
      <c r="BB27" s="6"/>
      <c r="BC27" s="6"/>
      <c r="BD27" s="6"/>
      <c r="BE27" s="6"/>
      <c r="BF27" s="6"/>
      <c r="BG27" s="6">
        <v>81.167999999999978</v>
      </c>
      <c r="BH27" s="6">
        <v>81.167999999999978</v>
      </c>
    </row>
    <row r="28" spans="1:60" ht="15.95" customHeight="1" x14ac:dyDescent="0.25">
      <c r="A28" s="4">
        <f t="shared" si="1"/>
        <v>26</v>
      </c>
      <c r="B28" s="110" t="s">
        <v>240</v>
      </c>
      <c r="C28" s="5" t="s">
        <v>66</v>
      </c>
      <c r="D28" s="75" t="s">
        <v>23</v>
      </c>
      <c r="E28" s="4">
        <v>1</v>
      </c>
      <c r="F28" s="6">
        <v>225</v>
      </c>
      <c r="G28" s="6">
        <v>193</v>
      </c>
      <c r="H28" s="6">
        <v>184</v>
      </c>
      <c r="I28" s="4" t="s">
        <v>23</v>
      </c>
      <c r="J28" s="6">
        <v>184.5</v>
      </c>
      <c r="K28" s="6">
        <v>184.5</v>
      </c>
      <c r="L28" s="6">
        <v>184.5</v>
      </c>
      <c r="M28" s="6">
        <v>184.5</v>
      </c>
      <c r="N28" s="6">
        <f t="shared" si="4"/>
        <v>193</v>
      </c>
      <c r="O28" s="6"/>
      <c r="P28" s="6">
        <v>184</v>
      </c>
      <c r="Q28" s="6">
        <v>184</v>
      </c>
      <c r="R28" s="6">
        <v>184</v>
      </c>
      <c r="S28" s="6">
        <v>184</v>
      </c>
      <c r="T28" s="6"/>
      <c r="U28" s="6"/>
      <c r="V28" s="6">
        <v>184</v>
      </c>
      <c r="W28" s="6">
        <v>184</v>
      </c>
      <c r="X28" s="6">
        <v>184</v>
      </c>
      <c r="Y28" s="6">
        <v>184</v>
      </c>
      <c r="Z28" s="6">
        <v>184</v>
      </c>
      <c r="AA28" s="6">
        <v>184</v>
      </c>
      <c r="AB28" s="6">
        <v>184</v>
      </c>
      <c r="AC28" s="6">
        <v>184</v>
      </c>
      <c r="AD28" s="6">
        <v>184</v>
      </c>
      <c r="AE28" s="6">
        <v>184</v>
      </c>
      <c r="AF28" s="6">
        <v>184</v>
      </c>
      <c r="AG28" s="6">
        <v>184</v>
      </c>
      <c r="AH28" s="6">
        <v>184</v>
      </c>
      <c r="AI28" s="6">
        <v>184</v>
      </c>
      <c r="AJ28" s="6">
        <v>184</v>
      </c>
      <c r="AK28" s="6">
        <v>184</v>
      </c>
      <c r="AL28" s="6">
        <v>184</v>
      </c>
      <c r="AM28" s="6">
        <v>184</v>
      </c>
      <c r="AN28" s="6">
        <v>184</v>
      </c>
      <c r="AO28" s="6">
        <v>184</v>
      </c>
      <c r="AP28" s="6">
        <v>184</v>
      </c>
      <c r="AQ28" s="6">
        <v>184</v>
      </c>
      <c r="AR28" s="6">
        <v>184</v>
      </c>
      <c r="AS28" s="6">
        <v>184</v>
      </c>
      <c r="AT28" s="6">
        <v>184</v>
      </c>
      <c r="AU28" s="6">
        <v>184</v>
      </c>
      <c r="AV28" s="6">
        <v>184</v>
      </c>
      <c r="AW28" s="6">
        <v>184</v>
      </c>
      <c r="AX28" s="6">
        <v>184</v>
      </c>
      <c r="AY28" s="6"/>
      <c r="AZ28" s="6"/>
      <c r="BA28" s="6"/>
      <c r="BB28" s="6"/>
      <c r="BC28" s="6"/>
      <c r="BD28" s="6"/>
      <c r="BE28" s="6"/>
      <c r="BF28" s="6"/>
      <c r="BG28" s="6">
        <v>184</v>
      </c>
      <c r="BH28" s="6">
        <v>184</v>
      </c>
    </row>
    <row r="29" spans="1:60" s="126" customFormat="1" ht="15.95" customHeight="1" x14ac:dyDescent="0.25">
      <c r="A29" s="4">
        <f t="shared" si="1"/>
        <v>27</v>
      </c>
      <c r="B29" s="122" t="s">
        <v>240</v>
      </c>
      <c r="C29" s="123" t="s">
        <v>67</v>
      </c>
      <c r="D29" s="124" t="s">
        <v>23</v>
      </c>
      <c r="E29" s="121">
        <v>1</v>
      </c>
      <c r="F29" s="125">
        <v>425</v>
      </c>
      <c r="G29" s="125">
        <v>378</v>
      </c>
      <c r="H29" s="125">
        <v>355</v>
      </c>
      <c r="I29" s="121" t="s">
        <v>23</v>
      </c>
      <c r="J29" s="125">
        <v>355</v>
      </c>
      <c r="K29" s="125">
        <v>355</v>
      </c>
      <c r="L29" s="125">
        <v>355</v>
      </c>
      <c r="M29" s="125">
        <v>355</v>
      </c>
      <c r="N29" s="125">
        <f t="shared" si="4"/>
        <v>378</v>
      </c>
      <c r="O29" s="125"/>
      <c r="P29" s="125">
        <v>355</v>
      </c>
      <c r="Q29" s="125">
        <v>355</v>
      </c>
      <c r="R29" s="125">
        <v>355</v>
      </c>
      <c r="S29" s="125">
        <v>355</v>
      </c>
      <c r="T29" s="127">
        <v>340</v>
      </c>
      <c r="U29" s="127">
        <v>355</v>
      </c>
      <c r="V29" s="125">
        <v>355</v>
      </c>
      <c r="W29" s="127">
        <v>350</v>
      </c>
      <c r="X29" s="127">
        <v>350</v>
      </c>
      <c r="Y29" s="127">
        <v>350</v>
      </c>
      <c r="Z29" s="127">
        <v>356</v>
      </c>
      <c r="AA29" s="127">
        <v>365</v>
      </c>
      <c r="AB29" s="127">
        <v>365</v>
      </c>
      <c r="AC29" s="127">
        <v>356</v>
      </c>
      <c r="AD29" s="127">
        <v>360</v>
      </c>
      <c r="AE29" s="125">
        <v>355</v>
      </c>
      <c r="AF29" s="127">
        <v>365</v>
      </c>
      <c r="AG29" s="127">
        <v>350</v>
      </c>
      <c r="AH29" s="127">
        <v>365</v>
      </c>
      <c r="AI29" s="127">
        <v>365</v>
      </c>
      <c r="AJ29" s="127">
        <v>365</v>
      </c>
      <c r="AK29" s="127">
        <v>350</v>
      </c>
      <c r="AL29" s="127">
        <v>356</v>
      </c>
      <c r="AM29" s="127">
        <v>360</v>
      </c>
      <c r="AN29" s="127">
        <v>360</v>
      </c>
      <c r="AO29" s="127">
        <v>356</v>
      </c>
      <c r="AP29" s="127">
        <v>365</v>
      </c>
      <c r="AQ29" s="127">
        <v>365</v>
      </c>
      <c r="AR29" s="127">
        <v>356</v>
      </c>
      <c r="AS29" s="127">
        <v>365</v>
      </c>
      <c r="AT29" s="127">
        <v>340</v>
      </c>
      <c r="AU29" s="127">
        <v>335</v>
      </c>
      <c r="AV29" s="127">
        <v>356</v>
      </c>
      <c r="AW29" s="127">
        <v>356</v>
      </c>
      <c r="AX29" s="127">
        <v>356</v>
      </c>
      <c r="AY29" s="125"/>
      <c r="AZ29" s="125"/>
      <c r="BA29" s="125"/>
      <c r="BB29" s="125"/>
      <c r="BC29" s="125"/>
      <c r="BD29" s="125"/>
      <c r="BE29" s="125"/>
      <c r="BF29" s="125"/>
      <c r="BG29" s="127">
        <v>335</v>
      </c>
      <c r="BH29" s="127">
        <v>340</v>
      </c>
    </row>
    <row r="30" spans="1:60" ht="15.95" customHeight="1" x14ac:dyDescent="0.25">
      <c r="A30" s="4">
        <f t="shared" si="1"/>
        <v>28</v>
      </c>
      <c r="B30" s="110" t="s">
        <v>245</v>
      </c>
      <c r="C30" s="5" t="s">
        <v>61</v>
      </c>
      <c r="D30" s="75">
        <v>0.05</v>
      </c>
      <c r="E30" s="4">
        <v>1</v>
      </c>
      <c r="F30" s="6">
        <v>395</v>
      </c>
      <c r="G30" s="6">
        <v>355</v>
      </c>
      <c r="H30" s="6">
        <v>340</v>
      </c>
      <c r="I30" s="4" t="s">
        <v>23</v>
      </c>
      <c r="J30" s="6" t="s">
        <v>23</v>
      </c>
      <c r="K30" s="6" t="s">
        <v>23</v>
      </c>
      <c r="L30" s="6" t="s">
        <v>23</v>
      </c>
      <c r="M30" s="6" t="str">
        <f t="shared" si="3"/>
        <v>-</v>
      </c>
      <c r="N30" s="6" t="s">
        <v>23</v>
      </c>
      <c r="O30" s="6" t="s">
        <v>23</v>
      </c>
      <c r="P30" s="6">
        <v>340</v>
      </c>
      <c r="Q30" s="6">
        <v>340</v>
      </c>
      <c r="R30" s="6">
        <v>340</v>
      </c>
      <c r="S30" s="6">
        <v>340</v>
      </c>
      <c r="T30" s="6"/>
      <c r="U30" s="6"/>
      <c r="V30" s="6">
        <v>340</v>
      </c>
      <c r="W30" s="6">
        <v>340</v>
      </c>
      <c r="X30" s="6">
        <v>340</v>
      </c>
      <c r="Y30" s="6">
        <v>340</v>
      </c>
      <c r="Z30" s="6">
        <v>340</v>
      </c>
      <c r="AA30" s="6">
        <v>340</v>
      </c>
      <c r="AB30" s="6">
        <v>340</v>
      </c>
      <c r="AC30" s="6">
        <v>340</v>
      </c>
      <c r="AD30" s="6">
        <v>340</v>
      </c>
      <c r="AE30" s="6">
        <v>340</v>
      </c>
      <c r="AF30" s="128">
        <v>360</v>
      </c>
      <c r="AG30" s="6">
        <v>340</v>
      </c>
      <c r="AH30" s="6">
        <v>340</v>
      </c>
      <c r="AI30" s="127">
        <v>350</v>
      </c>
      <c r="AJ30" s="6">
        <v>340</v>
      </c>
      <c r="AK30" s="6">
        <v>340</v>
      </c>
      <c r="AL30" s="127">
        <v>360</v>
      </c>
      <c r="AM30" s="6">
        <v>340</v>
      </c>
      <c r="AN30" s="6">
        <v>340</v>
      </c>
      <c r="AO30" s="6">
        <v>340</v>
      </c>
      <c r="AP30" s="6">
        <v>340</v>
      </c>
      <c r="AQ30" s="6">
        <v>340</v>
      </c>
      <c r="AR30" s="6">
        <v>340</v>
      </c>
      <c r="AS30" s="6">
        <v>340</v>
      </c>
      <c r="AT30" s="6">
        <v>340</v>
      </c>
      <c r="AU30" s="6">
        <v>340</v>
      </c>
      <c r="AV30" s="6">
        <v>340</v>
      </c>
      <c r="AW30" s="6">
        <v>340</v>
      </c>
      <c r="AX30" s="6">
        <v>340</v>
      </c>
      <c r="AY30" s="6"/>
      <c r="AZ30" s="6"/>
      <c r="BA30" s="6"/>
      <c r="BB30" s="6"/>
      <c r="BC30" s="6"/>
      <c r="BD30" s="6"/>
      <c r="BE30" s="6"/>
      <c r="BF30" s="6"/>
      <c r="BG30" s="6">
        <v>340</v>
      </c>
      <c r="BH30" s="6">
        <v>340</v>
      </c>
    </row>
    <row r="31" spans="1:60" ht="15.95" customHeight="1" x14ac:dyDescent="0.25">
      <c r="A31" s="4">
        <f t="shared" si="1"/>
        <v>29</v>
      </c>
      <c r="B31" s="110" t="s">
        <v>241</v>
      </c>
      <c r="C31" s="5" t="s">
        <v>276</v>
      </c>
      <c r="D31" s="75">
        <v>0.05</v>
      </c>
      <c r="E31" s="4">
        <v>90</v>
      </c>
      <c r="F31" s="6">
        <v>171</v>
      </c>
      <c r="G31" s="6">
        <v>154.05405405405403</v>
      </c>
      <c r="H31" s="6">
        <v>148.1288981288981</v>
      </c>
      <c r="I31" s="141" t="s">
        <v>314</v>
      </c>
      <c r="J31" s="6" t="s">
        <v>23</v>
      </c>
      <c r="K31" s="6">
        <v>145.35</v>
      </c>
      <c r="L31" s="6">
        <v>145.35</v>
      </c>
      <c r="M31" s="6">
        <v>145.35</v>
      </c>
      <c r="N31" s="6">
        <v>154.05405405405403</v>
      </c>
      <c r="O31" s="6"/>
      <c r="P31" s="6">
        <v>148.1288981288981</v>
      </c>
      <c r="Q31" s="6">
        <v>148.1288981288981</v>
      </c>
      <c r="R31" s="6">
        <v>148.1288981288981</v>
      </c>
      <c r="S31" s="6">
        <v>148.1288981288981</v>
      </c>
      <c r="T31" s="6"/>
      <c r="U31" s="6"/>
      <c r="V31" s="6">
        <v>148.1288981288981</v>
      </c>
      <c r="W31" s="6">
        <v>148.1288981288981</v>
      </c>
      <c r="X31" s="6">
        <v>148.1288981288981</v>
      </c>
      <c r="Y31" s="6">
        <v>148.1288981288981</v>
      </c>
      <c r="Z31" s="6">
        <v>148.1288981288981</v>
      </c>
      <c r="AA31" s="6">
        <v>148.1288981288981</v>
      </c>
      <c r="AB31" s="6">
        <v>148.1288981288981</v>
      </c>
      <c r="AC31" s="6">
        <v>148.1288981288981</v>
      </c>
      <c r="AD31" s="6">
        <v>148.1288981288981</v>
      </c>
      <c r="AE31" s="6">
        <v>148.1288981288981</v>
      </c>
      <c r="AF31" s="6">
        <v>148.1288981288981</v>
      </c>
      <c r="AG31" s="6">
        <v>148.1288981288981</v>
      </c>
      <c r="AH31" s="6">
        <v>148.1288981288981</v>
      </c>
      <c r="AI31" s="6">
        <v>148.1288981288981</v>
      </c>
      <c r="AJ31" s="6">
        <v>148.1288981288981</v>
      </c>
      <c r="AK31" s="6">
        <v>148.1288981288981</v>
      </c>
      <c r="AL31" s="6">
        <v>148.1288981288981</v>
      </c>
      <c r="AM31" s="6">
        <v>148.1288981288981</v>
      </c>
      <c r="AN31" s="6">
        <v>148.1288981288981</v>
      </c>
      <c r="AO31" s="6">
        <v>148.1288981288981</v>
      </c>
      <c r="AP31" s="6">
        <v>148.1288981288981</v>
      </c>
      <c r="AQ31" s="6">
        <v>148.1288981288981</v>
      </c>
      <c r="AR31" s="6">
        <v>148.1288981288981</v>
      </c>
      <c r="AS31" s="6">
        <v>148.1288981288981</v>
      </c>
      <c r="AT31" s="6">
        <v>148.1288981288981</v>
      </c>
      <c r="AU31" s="6">
        <v>148.1288981288981</v>
      </c>
      <c r="AV31" s="6">
        <v>148.1288981288981</v>
      </c>
      <c r="AW31" s="6">
        <v>148.1288981288981</v>
      </c>
      <c r="AX31" s="6">
        <v>148.1288981288981</v>
      </c>
      <c r="AY31" s="6"/>
      <c r="AZ31" s="6"/>
      <c r="BA31" s="6"/>
      <c r="BB31" s="6"/>
      <c r="BC31" s="6"/>
      <c r="BD31" s="6"/>
      <c r="BE31" s="6"/>
      <c r="BF31" s="6"/>
      <c r="BG31" s="6">
        <v>148.1288981288981</v>
      </c>
      <c r="BH31" s="6">
        <v>148.1288981288981</v>
      </c>
    </row>
    <row r="32" spans="1:60" ht="15.95" customHeight="1" x14ac:dyDescent="0.25">
      <c r="A32" s="4">
        <f t="shared" si="1"/>
        <v>30</v>
      </c>
      <c r="B32" s="110" t="s">
        <v>241</v>
      </c>
      <c r="C32" s="5" t="s">
        <v>277</v>
      </c>
      <c r="D32" s="75">
        <v>0.05</v>
      </c>
      <c r="E32" s="4">
        <v>36</v>
      </c>
      <c r="F32" s="6">
        <v>410</v>
      </c>
      <c r="G32" s="6">
        <v>369.36936936936934</v>
      </c>
      <c r="H32" s="6">
        <v>355.16285516285512</v>
      </c>
      <c r="I32" s="142"/>
      <c r="J32" s="6" t="s">
        <v>23</v>
      </c>
      <c r="K32" s="6">
        <v>348.5</v>
      </c>
      <c r="L32" s="6">
        <v>348.5</v>
      </c>
      <c r="M32" s="6">
        <v>348.5</v>
      </c>
      <c r="N32" s="6">
        <v>369.36936936936934</v>
      </c>
      <c r="O32" s="6"/>
      <c r="P32" s="6">
        <v>355.16285516285512</v>
      </c>
      <c r="Q32" s="6">
        <v>355.16285516285512</v>
      </c>
      <c r="R32" s="6">
        <v>355.16285516285512</v>
      </c>
      <c r="S32" s="6">
        <v>355.16285516285512</v>
      </c>
      <c r="T32" s="6"/>
      <c r="U32" s="6"/>
      <c r="V32" s="6">
        <v>355.16285516285512</v>
      </c>
      <c r="W32" s="6">
        <v>355.16285516285512</v>
      </c>
      <c r="X32" s="6">
        <v>355.16285516285512</v>
      </c>
      <c r="Y32" s="6">
        <v>355.16285516285512</v>
      </c>
      <c r="Z32" s="6">
        <v>355.16285516285512</v>
      </c>
      <c r="AA32" s="6">
        <v>355.16285516285512</v>
      </c>
      <c r="AB32" s="6">
        <v>355.16285516285512</v>
      </c>
      <c r="AC32" s="6">
        <v>355.16285516285512</v>
      </c>
      <c r="AD32" s="6">
        <v>355.16285516285512</v>
      </c>
      <c r="AE32" s="6">
        <v>355.16285516285512</v>
      </c>
      <c r="AF32" s="6">
        <v>355.16285516285512</v>
      </c>
      <c r="AG32" s="6">
        <v>355.16285516285512</v>
      </c>
      <c r="AH32" s="6">
        <v>355.16285516285512</v>
      </c>
      <c r="AI32" s="6">
        <v>355.16285516285512</v>
      </c>
      <c r="AJ32" s="6">
        <v>355.16285516285512</v>
      </c>
      <c r="AK32" s="6">
        <v>355.16285516285512</v>
      </c>
      <c r="AL32" s="6">
        <v>355.16285516285512</v>
      </c>
      <c r="AM32" s="6">
        <v>355.16285516285512</v>
      </c>
      <c r="AN32" s="6">
        <v>355.16285516285512</v>
      </c>
      <c r="AO32" s="6">
        <v>355.16285516285512</v>
      </c>
      <c r="AP32" s="6">
        <v>355.16285516285512</v>
      </c>
      <c r="AQ32" s="6">
        <v>355.16285516285512</v>
      </c>
      <c r="AR32" s="6">
        <v>355.16285516285512</v>
      </c>
      <c r="AS32" s="6">
        <v>355.16285516285512</v>
      </c>
      <c r="AT32" s="6">
        <v>355.16285516285512</v>
      </c>
      <c r="AU32" s="6">
        <v>355.16285516285512</v>
      </c>
      <c r="AV32" s="6">
        <v>355.16285516285512</v>
      </c>
      <c r="AW32" s="6">
        <v>355.16285516285512</v>
      </c>
      <c r="AX32" s="6">
        <v>355.16285516285512</v>
      </c>
      <c r="AY32" s="6"/>
      <c r="AZ32" s="6"/>
      <c r="BA32" s="6"/>
      <c r="BB32" s="6"/>
      <c r="BC32" s="6"/>
      <c r="BD32" s="6"/>
      <c r="BE32" s="6"/>
      <c r="BF32" s="6"/>
      <c r="BG32" s="6">
        <v>355.16285516285512</v>
      </c>
      <c r="BH32" s="6">
        <v>355.16285516285512</v>
      </c>
    </row>
    <row r="33" spans="1:60" ht="15.95" customHeight="1" x14ac:dyDescent="0.25">
      <c r="A33" s="4">
        <f t="shared" si="1"/>
        <v>31</v>
      </c>
      <c r="B33" s="110" t="s">
        <v>241</v>
      </c>
      <c r="C33" s="5" t="s">
        <v>278</v>
      </c>
      <c r="D33" s="75">
        <v>0.05</v>
      </c>
      <c r="E33" s="4">
        <v>18</v>
      </c>
      <c r="F33" s="6">
        <v>795</v>
      </c>
      <c r="G33" s="6">
        <v>716.21621621621614</v>
      </c>
      <c r="H33" s="6">
        <v>688.66943866943859</v>
      </c>
      <c r="I33" s="142"/>
      <c r="J33" s="6">
        <v>662.99999999999989</v>
      </c>
      <c r="K33" s="6">
        <v>675.75</v>
      </c>
      <c r="L33" s="6">
        <v>675.75</v>
      </c>
      <c r="M33" s="6">
        <v>675.75</v>
      </c>
      <c r="N33" s="6">
        <v>716.21621621621614</v>
      </c>
      <c r="O33" s="6"/>
      <c r="P33" s="6">
        <v>688.66943866943859</v>
      </c>
      <c r="Q33" s="6">
        <v>688.66943866943859</v>
      </c>
      <c r="R33" s="6">
        <v>688.66943866943859</v>
      </c>
      <c r="S33" s="6">
        <v>688.66943866943859</v>
      </c>
      <c r="T33" s="6"/>
      <c r="U33" s="6"/>
      <c r="V33" s="6">
        <v>688.66943866943859</v>
      </c>
      <c r="W33" s="6">
        <v>688.66943866943859</v>
      </c>
      <c r="X33" s="6">
        <v>688.66943866943859</v>
      </c>
      <c r="Y33" s="6">
        <v>688.66943866943859</v>
      </c>
      <c r="Z33" s="6">
        <v>688.66943866943859</v>
      </c>
      <c r="AA33" s="6">
        <v>688.66943866943859</v>
      </c>
      <c r="AB33" s="6">
        <v>688.66943866943859</v>
      </c>
      <c r="AC33" s="6">
        <v>688.66943866943859</v>
      </c>
      <c r="AD33" s="6">
        <v>688.66943866943859</v>
      </c>
      <c r="AE33" s="6">
        <v>688.66943866943859</v>
      </c>
      <c r="AF33" s="6">
        <v>688.66943866943859</v>
      </c>
      <c r="AG33" s="6">
        <v>688.66943866943859</v>
      </c>
      <c r="AH33" s="6">
        <v>688.66943866943859</v>
      </c>
      <c r="AI33" s="6">
        <v>688.66943866943859</v>
      </c>
      <c r="AJ33" s="6">
        <v>688.66943866943859</v>
      </c>
      <c r="AK33" s="6">
        <v>688.66943866943859</v>
      </c>
      <c r="AL33" s="6">
        <v>688.66943866943859</v>
      </c>
      <c r="AM33" s="6">
        <v>688.66943866943859</v>
      </c>
      <c r="AN33" s="6">
        <v>688.66943866943859</v>
      </c>
      <c r="AO33" s="128">
        <v>701.65</v>
      </c>
      <c r="AP33" s="128">
        <v>687</v>
      </c>
      <c r="AQ33" s="6">
        <v>688.66943866943859</v>
      </c>
      <c r="AR33" s="6">
        <v>688.66943866943859</v>
      </c>
      <c r="AS33" s="6">
        <v>688.66943866943859</v>
      </c>
      <c r="AT33" s="6">
        <v>688.66943866943859</v>
      </c>
      <c r="AU33" s="6">
        <v>688.66943866943859</v>
      </c>
      <c r="AV33" s="6">
        <v>688.66943866943859</v>
      </c>
      <c r="AW33" s="6">
        <v>688.66943866943859</v>
      </c>
      <c r="AX33" s="6">
        <v>688.66943866943859</v>
      </c>
      <c r="AY33" s="6"/>
      <c r="AZ33" s="6"/>
      <c r="BA33" s="6"/>
      <c r="BB33" s="6"/>
      <c r="BC33" s="6"/>
      <c r="BD33" s="6"/>
      <c r="BE33" s="6"/>
      <c r="BF33" s="6"/>
      <c r="BG33" s="6">
        <v>688.66943866943859</v>
      </c>
      <c r="BH33" s="6">
        <v>688.66943866943859</v>
      </c>
    </row>
    <row r="34" spans="1:60" ht="15.95" customHeight="1" x14ac:dyDescent="0.25">
      <c r="A34" s="4">
        <f t="shared" si="1"/>
        <v>32</v>
      </c>
      <c r="B34" s="110" t="s">
        <v>241</v>
      </c>
      <c r="C34" s="5" t="s">
        <v>279</v>
      </c>
      <c r="D34" s="75">
        <v>0.05</v>
      </c>
      <c r="E34" s="4">
        <v>18</v>
      </c>
      <c r="F34" s="6">
        <v>810</v>
      </c>
      <c r="G34" s="6">
        <v>729.72972972972968</v>
      </c>
      <c r="H34" s="6">
        <v>701.66320166320156</v>
      </c>
      <c r="I34" s="142"/>
      <c r="J34" s="6">
        <v>675.50943396226421</v>
      </c>
      <c r="K34" s="6">
        <v>688.5</v>
      </c>
      <c r="L34" s="6">
        <v>688.5</v>
      </c>
      <c r="M34" s="6">
        <v>688.5</v>
      </c>
      <c r="N34" s="6">
        <v>729.72972972972968</v>
      </c>
      <c r="O34" s="6"/>
      <c r="P34" s="6">
        <v>701.66320166320156</v>
      </c>
      <c r="Q34" s="6">
        <v>701.66320166320156</v>
      </c>
      <c r="R34" s="6">
        <v>701.66320166320156</v>
      </c>
      <c r="S34" s="6">
        <v>701.66320166320156</v>
      </c>
      <c r="T34" s="6"/>
      <c r="U34" s="6"/>
      <c r="V34" s="6">
        <v>701.66320166320156</v>
      </c>
      <c r="W34" s="6">
        <v>701.66320166320156</v>
      </c>
      <c r="X34" s="6">
        <v>701.66320166320156</v>
      </c>
      <c r="Y34" s="6">
        <v>701.66320166320156</v>
      </c>
      <c r="Z34" s="6">
        <v>701.66320166320156</v>
      </c>
      <c r="AA34" s="6">
        <v>701.66320166320156</v>
      </c>
      <c r="AB34" s="6">
        <v>701.66320166320156</v>
      </c>
      <c r="AC34" s="6">
        <v>701.66320166320156</v>
      </c>
      <c r="AD34" s="6">
        <v>701.66320166320156</v>
      </c>
      <c r="AE34" s="6">
        <v>701.66320166320156</v>
      </c>
      <c r="AF34" s="6">
        <v>701.66320166320156</v>
      </c>
      <c r="AG34" s="6">
        <v>701.66320166320156</v>
      </c>
      <c r="AH34" s="6">
        <v>701.66320166320156</v>
      </c>
      <c r="AI34" s="6">
        <v>701.66320166320156</v>
      </c>
      <c r="AJ34" s="6">
        <v>701.66320166320156</v>
      </c>
      <c r="AK34" s="6">
        <v>701.66320166320156</v>
      </c>
      <c r="AL34" s="6">
        <v>701.66320166320156</v>
      </c>
      <c r="AM34" s="6">
        <v>701.66320166320156</v>
      </c>
      <c r="AN34" s="6">
        <v>701.66320166320156</v>
      </c>
      <c r="AO34" s="6">
        <v>701.66320166320156</v>
      </c>
      <c r="AP34" s="6">
        <v>701.66320166320156</v>
      </c>
      <c r="AQ34" s="6">
        <v>701.66320166320156</v>
      </c>
      <c r="AR34" s="6">
        <v>701.66320166320156</v>
      </c>
      <c r="AS34" s="6">
        <v>701.66320166320156</v>
      </c>
      <c r="AT34" s="6">
        <v>701.66320166320156</v>
      </c>
      <c r="AU34" s="6">
        <v>701.66320166320156</v>
      </c>
      <c r="AV34" s="6">
        <v>701.66320166320156</v>
      </c>
      <c r="AW34" s="6">
        <v>701.66320166320156</v>
      </c>
      <c r="AX34" s="6">
        <v>701.66320166320156</v>
      </c>
      <c r="AY34" s="6"/>
      <c r="AZ34" s="6"/>
      <c r="BA34" s="6"/>
      <c r="BB34" s="6"/>
      <c r="BC34" s="6"/>
      <c r="BD34" s="6"/>
      <c r="BE34" s="6"/>
      <c r="BF34" s="6"/>
      <c r="BG34" s="6">
        <v>701.66320166320156</v>
      </c>
      <c r="BH34" s="6">
        <v>701.66320166320156</v>
      </c>
    </row>
    <row r="35" spans="1:60" ht="15.95" customHeight="1" x14ac:dyDescent="0.25">
      <c r="A35" s="4">
        <f t="shared" si="1"/>
        <v>33</v>
      </c>
      <c r="B35" s="110" t="s">
        <v>241</v>
      </c>
      <c r="C35" s="5" t="s">
        <v>280</v>
      </c>
      <c r="D35" s="75">
        <v>0.05</v>
      </c>
      <c r="E35" s="4">
        <v>4</v>
      </c>
      <c r="F35" s="6">
        <v>3995</v>
      </c>
      <c r="G35" s="6">
        <v>3599.0990990990986</v>
      </c>
      <c r="H35" s="6">
        <v>3460.67221067221</v>
      </c>
      <c r="I35" s="142"/>
      <c r="J35" s="6" t="s">
        <v>23</v>
      </c>
      <c r="K35" s="6">
        <v>3395.75</v>
      </c>
      <c r="L35" s="6">
        <v>3395.75</v>
      </c>
      <c r="M35" s="6">
        <v>3395.75</v>
      </c>
      <c r="N35" s="6">
        <v>3599.0990990990986</v>
      </c>
      <c r="O35" s="6"/>
      <c r="P35" s="6">
        <v>3460.67221067221</v>
      </c>
      <c r="Q35" s="6">
        <v>3460.67221067221</v>
      </c>
      <c r="R35" s="6">
        <v>3460.67221067221</v>
      </c>
      <c r="S35" s="6">
        <v>3460.67221067221</v>
      </c>
      <c r="T35" s="6"/>
      <c r="U35" s="6"/>
      <c r="V35" s="6">
        <v>3460.67221067221</v>
      </c>
      <c r="W35" s="6">
        <v>3460.67221067221</v>
      </c>
      <c r="X35" s="6">
        <v>3460.67221067221</v>
      </c>
      <c r="Y35" s="6">
        <v>3460.67221067221</v>
      </c>
      <c r="Z35" s="6">
        <v>3460.67221067221</v>
      </c>
      <c r="AA35" s="6">
        <v>3460.67221067221</v>
      </c>
      <c r="AB35" s="6">
        <v>3460.67221067221</v>
      </c>
      <c r="AC35" s="6">
        <v>3460.67221067221</v>
      </c>
      <c r="AD35" s="6">
        <v>3460.67221067221</v>
      </c>
      <c r="AE35" s="6">
        <v>3460.67221067221</v>
      </c>
      <c r="AF35" s="6">
        <v>3460.67221067221</v>
      </c>
      <c r="AG35" s="6">
        <v>3460.67221067221</v>
      </c>
      <c r="AH35" s="6">
        <v>3460.67221067221</v>
      </c>
      <c r="AI35" s="6">
        <v>3460.67221067221</v>
      </c>
      <c r="AJ35" s="6">
        <v>3460.67221067221</v>
      </c>
      <c r="AK35" s="6">
        <v>3460.67221067221</v>
      </c>
      <c r="AL35" s="6">
        <v>3460.67221067221</v>
      </c>
      <c r="AM35" s="6">
        <v>3460.67221067221</v>
      </c>
      <c r="AN35" s="6">
        <v>3460.67221067221</v>
      </c>
      <c r="AO35" s="6">
        <v>3460.67221067221</v>
      </c>
      <c r="AP35" s="6">
        <v>3460.67221067221</v>
      </c>
      <c r="AQ35" s="6">
        <v>3460.67221067221</v>
      </c>
      <c r="AR35" s="6">
        <v>3460.67221067221</v>
      </c>
      <c r="AS35" s="6">
        <v>3460.67221067221</v>
      </c>
      <c r="AT35" s="6">
        <v>3460.67221067221</v>
      </c>
      <c r="AU35" s="6">
        <v>3460.67221067221</v>
      </c>
      <c r="AV35" s="6">
        <v>3460.67221067221</v>
      </c>
      <c r="AW35" s="6">
        <v>3460.67221067221</v>
      </c>
      <c r="AX35" s="6">
        <v>3460.67221067221</v>
      </c>
      <c r="AY35" s="6"/>
      <c r="AZ35" s="6"/>
      <c r="BA35" s="6"/>
      <c r="BB35" s="6"/>
      <c r="BC35" s="6"/>
      <c r="BD35" s="6"/>
      <c r="BE35" s="6"/>
      <c r="BF35" s="6"/>
      <c r="BG35" s="6">
        <v>3460.67221067221</v>
      </c>
      <c r="BH35" s="6">
        <v>3460.67221067221</v>
      </c>
    </row>
    <row r="36" spans="1:60" ht="15.95" customHeight="1" x14ac:dyDescent="0.25">
      <c r="A36" s="4">
        <f t="shared" si="1"/>
        <v>34</v>
      </c>
      <c r="B36" s="110" t="s">
        <v>241</v>
      </c>
      <c r="C36" s="5" t="s">
        <v>75</v>
      </c>
      <c r="D36" s="75">
        <v>0.05</v>
      </c>
      <c r="E36" s="4">
        <v>80</v>
      </c>
      <c r="F36" s="6">
        <v>189</v>
      </c>
      <c r="G36" s="6">
        <v>170.27027027027026</v>
      </c>
      <c r="H36" s="6">
        <v>163.72141372141371</v>
      </c>
      <c r="I36" s="142"/>
      <c r="J36" s="6" t="s">
        <v>23</v>
      </c>
      <c r="K36" s="6">
        <v>146.65</v>
      </c>
      <c r="L36" s="6">
        <v>146.65</v>
      </c>
      <c r="M36" s="6">
        <v>146.65</v>
      </c>
      <c r="N36" s="6">
        <v>170.27027027027026</v>
      </c>
      <c r="O36" s="6"/>
      <c r="P36" s="6">
        <v>163.72141372141371</v>
      </c>
      <c r="Q36" s="6">
        <v>163.72141372141371</v>
      </c>
      <c r="R36" s="6">
        <v>163.72141372141371</v>
      </c>
      <c r="S36" s="6">
        <v>163.72141372141371</v>
      </c>
      <c r="T36" s="6"/>
      <c r="U36" s="6"/>
      <c r="V36" s="6">
        <v>163.72141372141371</v>
      </c>
      <c r="W36" s="6">
        <v>163.72141372141371</v>
      </c>
      <c r="X36" s="6">
        <v>163.72141372141371</v>
      </c>
      <c r="Y36" s="6">
        <v>163.72141372141371</v>
      </c>
      <c r="Z36" s="6">
        <v>163.72141372141371</v>
      </c>
      <c r="AA36" s="6">
        <v>163.72141372141371</v>
      </c>
      <c r="AB36" s="6">
        <v>163.72141372141371</v>
      </c>
      <c r="AC36" s="6">
        <v>163.72141372141371</v>
      </c>
      <c r="AD36" s="6">
        <v>163.72141372141371</v>
      </c>
      <c r="AE36" s="6">
        <v>163.72141372141371</v>
      </c>
      <c r="AF36" s="6">
        <v>163.72141372141371</v>
      </c>
      <c r="AG36" s="6">
        <v>163.72141372141371</v>
      </c>
      <c r="AH36" s="6">
        <v>163.72141372141371</v>
      </c>
      <c r="AI36" s="6">
        <v>163.72141372141371</v>
      </c>
      <c r="AJ36" s="6">
        <v>163.72141372141371</v>
      </c>
      <c r="AK36" s="6">
        <v>163.72141372141371</v>
      </c>
      <c r="AL36" s="6">
        <v>163.72141372141371</v>
      </c>
      <c r="AM36" s="6">
        <v>163.72141372141371</v>
      </c>
      <c r="AN36" s="6">
        <v>163.72141372141371</v>
      </c>
      <c r="AO36" s="6">
        <v>163.72141372141371</v>
      </c>
      <c r="AP36" s="6">
        <v>163.72141372141371</v>
      </c>
      <c r="AQ36" s="6">
        <v>163.72141372141371</v>
      </c>
      <c r="AR36" s="6">
        <v>163.72141372141371</v>
      </c>
      <c r="AS36" s="6">
        <v>163.72141372141371</v>
      </c>
      <c r="AT36" s="6">
        <v>163.72141372141371</v>
      </c>
      <c r="AU36" s="6">
        <v>163.72141372141371</v>
      </c>
      <c r="AV36" s="6">
        <v>163.72141372141371</v>
      </c>
      <c r="AW36" s="6">
        <v>163.72141372141371</v>
      </c>
      <c r="AX36" s="6">
        <v>163.72141372141371</v>
      </c>
      <c r="AY36" s="6"/>
      <c r="AZ36" s="6"/>
      <c r="BA36" s="6"/>
      <c r="BB36" s="6"/>
      <c r="BC36" s="6"/>
      <c r="BD36" s="6"/>
      <c r="BE36" s="6"/>
      <c r="BF36" s="6"/>
      <c r="BG36" s="6">
        <v>163.72141372141371</v>
      </c>
      <c r="BH36" s="6">
        <v>163.72141372141371</v>
      </c>
    </row>
    <row r="37" spans="1:60" ht="15.95" customHeight="1" x14ac:dyDescent="0.25">
      <c r="A37" s="4">
        <f t="shared" si="1"/>
        <v>35</v>
      </c>
      <c r="B37" s="110" t="s">
        <v>242</v>
      </c>
      <c r="C37" s="5" t="s">
        <v>76</v>
      </c>
      <c r="D37" s="75">
        <v>0.05</v>
      </c>
      <c r="E37" s="4">
        <v>36</v>
      </c>
      <c r="F37" s="6">
        <v>455</v>
      </c>
      <c r="G37" s="6">
        <v>409.90990990990986</v>
      </c>
      <c r="H37" s="6">
        <v>394.14414414414409</v>
      </c>
      <c r="I37" s="142"/>
      <c r="J37" s="6" t="s">
        <v>23</v>
      </c>
      <c r="K37" s="6">
        <v>351.75</v>
      </c>
      <c r="L37" s="6">
        <v>351.75</v>
      </c>
      <c r="M37" s="6">
        <v>351.75</v>
      </c>
      <c r="N37" s="6">
        <v>409.90990990990986</v>
      </c>
      <c r="O37" s="6"/>
      <c r="P37" s="6">
        <v>394.14414414414409</v>
      </c>
      <c r="Q37" s="6">
        <v>394.14414414414409</v>
      </c>
      <c r="R37" s="6">
        <v>394.14414414414409</v>
      </c>
      <c r="S37" s="6">
        <v>394.14414414414409</v>
      </c>
      <c r="T37" s="6"/>
      <c r="U37" s="6"/>
      <c r="V37" s="6">
        <v>394.14414414414409</v>
      </c>
      <c r="W37" s="6">
        <v>394.14414414414409</v>
      </c>
      <c r="X37" s="6">
        <v>394.14414414414409</v>
      </c>
      <c r="Y37" s="6">
        <v>394.14414414414409</v>
      </c>
      <c r="Z37" s="6">
        <v>394.14414414414409</v>
      </c>
      <c r="AA37" s="6">
        <v>394.14414414414409</v>
      </c>
      <c r="AB37" s="6">
        <v>394.14414414414409</v>
      </c>
      <c r="AC37" s="6">
        <v>394.14414414414409</v>
      </c>
      <c r="AD37" s="6">
        <v>394.14414414414409</v>
      </c>
      <c r="AE37" s="6">
        <v>394.14414414414409</v>
      </c>
      <c r="AF37" s="6">
        <v>394.14414414414409</v>
      </c>
      <c r="AG37" s="6">
        <v>394.14414414414409</v>
      </c>
      <c r="AH37" s="6">
        <v>394.14414414414409</v>
      </c>
      <c r="AI37" s="6">
        <v>394.14414414414409</v>
      </c>
      <c r="AJ37" s="6">
        <v>394.14414414414409</v>
      </c>
      <c r="AK37" s="6">
        <v>394.14414414414409</v>
      </c>
      <c r="AL37" s="6">
        <v>394.14414414414409</v>
      </c>
      <c r="AM37" s="6">
        <v>394.14414414414409</v>
      </c>
      <c r="AN37" s="6">
        <v>394.14414414414409</v>
      </c>
      <c r="AO37" s="6">
        <v>394.14414414414409</v>
      </c>
      <c r="AP37" s="6">
        <v>394.14414414414409</v>
      </c>
      <c r="AQ37" s="6">
        <v>394.14414414414409</v>
      </c>
      <c r="AR37" s="6">
        <v>394.14414414414409</v>
      </c>
      <c r="AS37" s="6">
        <v>394.14414414414409</v>
      </c>
      <c r="AT37" s="6">
        <v>394.14414414414409</v>
      </c>
      <c r="AU37" s="6">
        <v>394.14414414414409</v>
      </c>
      <c r="AV37" s="6">
        <v>394.14414414414409</v>
      </c>
      <c r="AW37" s="6">
        <v>394.14414414414409</v>
      </c>
      <c r="AX37" s="6">
        <v>394.14414414414409</v>
      </c>
      <c r="AY37" s="6"/>
      <c r="AZ37" s="6"/>
      <c r="BA37" s="6"/>
      <c r="BB37" s="6"/>
      <c r="BC37" s="6"/>
      <c r="BD37" s="6"/>
      <c r="BE37" s="6"/>
      <c r="BF37" s="6"/>
      <c r="BG37" s="6">
        <v>394.14414414414409</v>
      </c>
      <c r="BH37" s="6">
        <v>394.14414414414409</v>
      </c>
    </row>
    <row r="38" spans="1:60" ht="15.95" customHeight="1" x14ac:dyDescent="0.25">
      <c r="A38" s="4">
        <f t="shared" si="1"/>
        <v>36</v>
      </c>
      <c r="B38" s="110" t="s">
        <v>242</v>
      </c>
      <c r="C38" s="5" t="s">
        <v>281</v>
      </c>
      <c r="D38" s="75">
        <v>0.05</v>
      </c>
      <c r="E38" s="4">
        <v>18</v>
      </c>
      <c r="F38" s="6">
        <v>885</v>
      </c>
      <c r="G38" s="6">
        <v>797.29729729729718</v>
      </c>
      <c r="H38" s="6">
        <v>766.63201663201653</v>
      </c>
      <c r="I38" s="142"/>
      <c r="J38" s="6">
        <v>668.05660377358492</v>
      </c>
      <c r="K38" s="6">
        <v>682.25</v>
      </c>
      <c r="L38" s="6">
        <v>682.25</v>
      </c>
      <c r="M38" s="6">
        <v>682.25</v>
      </c>
      <c r="N38" s="6">
        <v>797.29729729729718</v>
      </c>
      <c r="O38" s="6"/>
      <c r="P38" s="6">
        <v>766.63201663201653</v>
      </c>
      <c r="Q38" s="6">
        <v>766.63201663201653</v>
      </c>
      <c r="R38" s="6">
        <v>766.63201663201653</v>
      </c>
      <c r="S38" s="6">
        <v>766.63201663201653</v>
      </c>
      <c r="T38" s="6"/>
      <c r="U38" s="6"/>
      <c r="V38" s="6">
        <v>766.63201663201653</v>
      </c>
      <c r="W38" s="6">
        <v>766.63201663201653</v>
      </c>
      <c r="X38" s="6">
        <v>766.63201663201653</v>
      </c>
      <c r="Y38" s="6">
        <v>766.63201663201653</v>
      </c>
      <c r="Z38" s="6">
        <v>766.63201663201653</v>
      </c>
      <c r="AA38" s="6">
        <v>766.63201663201653</v>
      </c>
      <c r="AB38" s="6">
        <v>766.63201663201653</v>
      </c>
      <c r="AC38" s="6">
        <v>766.63201663201653</v>
      </c>
      <c r="AD38" s="6">
        <v>766.63201663201653</v>
      </c>
      <c r="AE38" s="6">
        <v>766.63201663201653</v>
      </c>
      <c r="AF38" s="6">
        <v>766.63201663201653</v>
      </c>
      <c r="AG38" s="6">
        <v>766.63201663201653</v>
      </c>
      <c r="AH38" s="6">
        <v>766.63201663201653</v>
      </c>
      <c r="AI38" s="6">
        <v>766.63201663201653</v>
      </c>
      <c r="AJ38" s="6">
        <v>766.63201663201653</v>
      </c>
      <c r="AK38" s="6">
        <v>766.63201663201653</v>
      </c>
      <c r="AL38" s="6">
        <v>766.63201663201653</v>
      </c>
      <c r="AM38" s="6">
        <v>766.63201663201653</v>
      </c>
      <c r="AN38" s="6">
        <v>766.63201663201653</v>
      </c>
      <c r="AO38" s="6">
        <v>766.63201663201653</v>
      </c>
      <c r="AP38" s="6">
        <v>766.63201663201653</v>
      </c>
      <c r="AQ38" s="6">
        <v>766.63201663201653</v>
      </c>
      <c r="AR38" s="6">
        <v>766.63201663201653</v>
      </c>
      <c r="AS38" s="6">
        <v>766.63201663201653</v>
      </c>
      <c r="AT38" s="6">
        <v>766.63201663201653</v>
      </c>
      <c r="AU38" s="6">
        <v>766.63201663201653</v>
      </c>
      <c r="AV38" s="6">
        <v>766.63201663201653</v>
      </c>
      <c r="AW38" s="6">
        <v>766.63201663201653</v>
      </c>
      <c r="AX38" s="6">
        <v>766.63201663201653</v>
      </c>
      <c r="AY38" s="6"/>
      <c r="AZ38" s="6"/>
      <c r="BA38" s="6"/>
      <c r="BB38" s="6"/>
      <c r="BC38" s="6"/>
      <c r="BD38" s="6"/>
      <c r="BE38" s="6"/>
      <c r="BF38" s="6"/>
      <c r="BG38" s="6">
        <v>766.63201663201653</v>
      </c>
      <c r="BH38" s="6">
        <v>766.63201663201653</v>
      </c>
    </row>
    <row r="39" spans="1:60" ht="15.95" customHeight="1" x14ac:dyDescent="0.25">
      <c r="A39" s="4">
        <f t="shared" si="1"/>
        <v>37</v>
      </c>
      <c r="B39" s="110" t="s">
        <v>242</v>
      </c>
      <c r="C39" s="5" t="s">
        <v>77</v>
      </c>
      <c r="D39" s="75">
        <v>0.05</v>
      </c>
      <c r="E39" s="4">
        <v>18</v>
      </c>
      <c r="F39" s="6">
        <v>899</v>
      </c>
      <c r="G39" s="6">
        <v>809.90990990990986</v>
      </c>
      <c r="H39" s="6">
        <v>778.75952875952873</v>
      </c>
      <c r="I39" s="142"/>
      <c r="J39" s="6" t="s">
        <v>23</v>
      </c>
      <c r="K39" s="6">
        <v>694.15</v>
      </c>
      <c r="L39" s="6">
        <v>694.15</v>
      </c>
      <c r="M39" s="6">
        <v>694.15</v>
      </c>
      <c r="N39" s="6">
        <v>809.90990990990986</v>
      </c>
      <c r="O39" s="6"/>
      <c r="P39" s="6">
        <v>778.75952875952873</v>
      </c>
      <c r="Q39" s="6">
        <v>778.75952875952873</v>
      </c>
      <c r="R39" s="6">
        <v>778.75952875952873</v>
      </c>
      <c r="S39" s="6">
        <v>778.75952875952873</v>
      </c>
      <c r="T39" s="6"/>
      <c r="U39" s="6"/>
      <c r="V39" s="6">
        <v>778.75952875952873</v>
      </c>
      <c r="W39" s="6">
        <v>778.75952875952873</v>
      </c>
      <c r="X39" s="6">
        <v>778.75952875952873</v>
      </c>
      <c r="Y39" s="6">
        <v>778.75952875952873</v>
      </c>
      <c r="Z39" s="6">
        <v>778.75952875952873</v>
      </c>
      <c r="AA39" s="6">
        <v>778.75952875952873</v>
      </c>
      <c r="AB39" s="6">
        <v>778.75952875952873</v>
      </c>
      <c r="AC39" s="6">
        <v>778.75952875952873</v>
      </c>
      <c r="AD39" s="6">
        <v>778.75952875952873</v>
      </c>
      <c r="AE39" s="6">
        <v>778.75952875952873</v>
      </c>
      <c r="AF39" s="6">
        <v>778.75952875952873</v>
      </c>
      <c r="AG39" s="6">
        <v>778.75952875952873</v>
      </c>
      <c r="AH39" s="6">
        <v>778.75952875952873</v>
      </c>
      <c r="AI39" s="6">
        <v>778.75952875952873</v>
      </c>
      <c r="AJ39" s="6">
        <v>778.75952875952873</v>
      </c>
      <c r="AK39" s="6">
        <v>778.75952875952873</v>
      </c>
      <c r="AL39" s="6">
        <v>778.75952875952873</v>
      </c>
      <c r="AM39" s="6">
        <v>778.75952875952873</v>
      </c>
      <c r="AN39" s="6">
        <v>778.75952875952873</v>
      </c>
      <c r="AO39" s="6">
        <v>778.75952875952873</v>
      </c>
      <c r="AP39" s="6">
        <v>778.75952875952873</v>
      </c>
      <c r="AQ39" s="6">
        <v>778.75952875952873</v>
      </c>
      <c r="AR39" s="6">
        <v>778.75952875952873</v>
      </c>
      <c r="AS39" s="6">
        <v>778.75952875952873</v>
      </c>
      <c r="AT39" s="6">
        <v>778.75952875952873</v>
      </c>
      <c r="AU39" s="6">
        <v>778.75952875952873</v>
      </c>
      <c r="AV39" s="6">
        <v>778.75952875952873</v>
      </c>
      <c r="AW39" s="6">
        <v>778.75952875952873</v>
      </c>
      <c r="AX39" s="6">
        <v>778.75952875952873</v>
      </c>
      <c r="AY39" s="6"/>
      <c r="AZ39" s="6"/>
      <c r="BA39" s="6"/>
      <c r="BB39" s="6"/>
      <c r="BC39" s="6"/>
      <c r="BD39" s="6"/>
      <c r="BE39" s="6"/>
      <c r="BF39" s="6"/>
      <c r="BG39" s="6">
        <v>778.75952875952873</v>
      </c>
      <c r="BH39" s="6">
        <v>778.75952875952873</v>
      </c>
    </row>
    <row r="40" spans="1:60" ht="15.95" customHeight="1" x14ac:dyDescent="0.25">
      <c r="A40" s="4">
        <f t="shared" si="1"/>
        <v>38</v>
      </c>
      <c r="B40" s="110" t="s">
        <v>241</v>
      </c>
      <c r="C40" s="78" t="s">
        <v>223</v>
      </c>
      <c r="D40" s="75">
        <v>0.05</v>
      </c>
      <c r="E40" s="4" t="s">
        <v>224</v>
      </c>
      <c r="F40" s="6">
        <v>20</v>
      </c>
      <c r="G40" s="6" t="s">
        <v>23</v>
      </c>
      <c r="H40" s="6">
        <v>750</v>
      </c>
      <c r="I40" s="105" t="s">
        <v>23</v>
      </c>
      <c r="J40" s="6" t="s">
        <v>23</v>
      </c>
      <c r="K40" s="6" t="s">
        <v>23</v>
      </c>
      <c r="L40" s="6" t="s">
        <v>23</v>
      </c>
      <c r="M40" s="6" t="s">
        <v>23</v>
      </c>
      <c r="N40" s="6" t="s">
        <v>23</v>
      </c>
      <c r="O40" s="6"/>
      <c r="P40" s="6">
        <v>750</v>
      </c>
      <c r="Q40" s="6">
        <v>750</v>
      </c>
      <c r="R40" s="6">
        <v>750</v>
      </c>
      <c r="S40" s="6">
        <v>750</v>
      </c>
      <c r="T40" s="6"/>
      <c r="U40" s="6"/>
      <c r="V40" s="6">
        <v>750</v>
      </c>
      <c r="W40" s="6">
        <v>750</v>
      </c>
      <c r="X40" s="6">
        <v>750</v>
      </c>
      <c r="Y40" s="6">
        <v>750</v>
      </c>
      <c r="Z40" s="6">
        <v>750</v>
      </c>
      <c r="AA40" s="6">
        <v>750</v>
      </c>
      <c r="AB40" s="6">
        <v>750</v>
      </c>
      <c r="AC40" s="6">
        <v>750</v>
      </c>
      <c r="AD40" s="6">
        <v>750</v>
      </c>
      <c r="AE40" s="6">
        <v>750</v>
      </c>
      <c r="AF40" s="6">
        <v>750</v>
      </c>
      <c r="AG40" s="6">
        <v>750</v>
      </c>
      <c r="AH40" s="6">
        <v>750</v>
      </c>
      <c r="AI40" s="6">
        <v>750</v>
      </c>
      <c r="AJ40" s="6">
        <v>750</v>
      </c>
      <c r="AK40" s="6">
        <v>750</v>
      </c>
      <c r="AL40" s="6">
        <v>750</v>
      </c>
      <c r="AM40" s="6">
        <v>750</v>
      </c>
      <c r="AN40" s="6">
        <v>750</v>
      </c>
      <c r="AO40" s="6">
        <v>750</v>
      </c>
      <c r="AP40" s="6">
        <v>750</v>
      </c>
      <c r="AQ40" s="6">
        <v>750</v>
      </c>
      <c r="AR40" s="6">
        <v>750</v>
      </c>
      <c r="AS40" s="6">
        <v>750</v>
      </c>
      <c r="AT40" s="6">
        <v>750</v>
      </c>
      <c r="AU40" s="6">
        <v>750</v>
      </c>
      <c r="AV40" s="6">
        <v>750</v>
      </c>
      <c r="AW40" s="6">
        <v>750</v>
      </c>
      <c r="AX40" s="6">
        <v>750</v>
      </c>
      <c r="AY40" s="6"/>
      <c r="AZ40" s="6"/>
      <c r="BA40" s="6"/>
      <c r="BB40" s="6"/>
      <c r="BC40" s="6"/>
      <c r="BD40" s="6"/>
      <c r="BE40" s="6"/>
      <c r="BF40" s="6"/>
      <c r="BG40" s="6">
        <v>750</v>
      </c>
      <c r="BH40" s="6">
        <v>750</v>
      </c>
    </row>
    <row r="41" spans="1:60" ht="15.95" customHeight="1" x14ac:dyDescent="0.25">
      <c r="A41" s="4">
        <f t="shared" si="1"/>
        <v>39</v>
      </c>
      <c r="B41" s="110" t="s">
        <v>243</v>
      </c>
      <c r="C41" s="5" t="s">
        <v>230</v>
      </c>
      <c r="D41" s="4" t="s">
        <v>23</v>
      </c>
      <c r="E41" s="4">
        <v>30</v>
      </c>
      <c r="F41" s="6">
        <v>10</v>
      </c>
      <c r="G41" s="6">
        <v>8.8495575221238951</v>
      </c>
      <c r="H41" s="6">
        <f>225/30</f>
        <v>7.5</v>
      </c>
      <c r="I41" s="4"/>
      <c r="J41" s="7" t="s">
        <v>23</v>
      </c>
      <c r="K41" s="7" t="s">
        <v>23</v>
      </c>
      <c r="L41" s="7" t="s">
        <v>23</v>
      </c>
      <c r="M41" s="6" t="s">
        <v>23</v>
      </c>
      <c r="N41" s="6" t="s">
        <v>23</v>
      </c>
      <c r="O41" s="6"/>
      <c r="P41" s="6">
        <f>225/30</f>
        <v>7.5</v>
      </c>
      <c r="Q41" s="6">
        <f t="shared" ref="Q41:S41" si="5">225/30</f>
        <v>7.5</v>
      </c>
      <c r="R41" s="6">
        <f t="shared" si="5"/>
        <v>7.5</v>
      </c>
      <c r="S41" s="6">
        <f t="shared" si="5"/>
        <v>7.5</v>
      </c>
      <c r="T41" s="6"/>
      <c r="U41" s="6"/>
      <c r="V41" s="6">
        <v>7.5</v>
      </c>
      <c r="W41" s="6">
        <f>225/30</f>
        <v>7.5</v>
      </c>
      <c r="X41" s="6">
        <f>225/30</f>
        <v>7.5</v>
      </c>
      <c r="Y41" s="6">
        <f>225/30</f>
        <v>7.5</v>
      </c>
      <c r="Z41" s="6">
        <v>7.5</v>
      </c>
      <c r="AA41" s="6">
        <v>7.5</v>
      </c>
      <c r="AB41" s="6">
        <v>7.5</v>
      </c>
      <c r="AC41" s="6">
        <f>225/30</f>
        <v>7.5</v>
      </c>
      <c r="AD41" s="6">
        <v>7.5</v>
      </c>
      <c r="AE41" s="6">
        <f t="shared" ref="AE41:AX41" si="6">225/30</f>
        <v>7.5</v>
      </c>
      <c r="AF41" s="6">
        <f t="shared" si="6"/>
        <v>7.5</v>
      </c>
      <c r="AG41" s="6">
        <f t="shared" si="6"/>
        <v>7.5</v>
      </c>
      <c r="AH41" s="6">
        <f t="shared" si="6"/>
        <v>7.5</v>
      </c>
      <c r="AI41" s="6">
        <f t="shared" si="6"/>
        <v>7.5</v>
      </c>
      <c r="AJ41" s="6">
        <f t="shared" si="6"/>
        <v>7.5</v>
      </c>
      <c r="AK41" s="6">
        <f t="shared" si="6"/>
        <v>7.5</v>
      </c>
      <c r="AL41" s="6">
        <f t="shared" si="6"/>
        <v>7.5</v>
      </c>
      <c r="AM41" s="6">
        <f t="shared" si="6"/>
        <v>7.5</v>
      </c>
      <c r="AN41" s="6">
        <f t="shared" si="6"/>
        <v>7.5</v>
      </c>
      <c r="AO41" s="6">
        <f t="shared" si="6"/>
        <v>7.5</v>
      </c>
      <c r="AP41" s="6">
        <f t="shared" si="6"/>
        <v>7.5</v>
      </c>
      <c r="AQ41" s="6">
        <f t="shared" si="6"/>
        <v>7.5</v>
      </c>
      <c r="AR41" s="6">
        <f t="shared" si="6"/>
        <v>7.5</v>
      </c>
      <c r="AS41" s="6">
        <f t="shared" si="6"/>
        <v>7.5</v>
      </c>
      <c r="AT41" s="6">
        <f t="shared" si="6"/>
        <v>7.5</v>
      </c>
      <c r="AU41" s="6">
        <f t="shared" si="6"/>
        <v>7.5</v>
      </c>
      <c r="AV41" s="6">
        <f t="shared" si="6"/>
        <v>7.5</v>
      </c>
      <c r="AW41" s="6">
        <f t="shared" si="6"/>
        <v>7.5</v>
      </c>
      <c r="AX41" s="6">
        <f t="shared" si="6"/>
        <v>7.5</v>
      </c>
      <c r="AY41" s="6"/>
      <c r="AZ41" s="6"/>
      <c r="BA41" s="6"/>
      <c r="BB41" s="6"/>
      <c r="BC41" s="6"/>
      <c r="BD41" s="6"/>
      <c r="BE41" s="6"/>
      <c r="BF41" s="6"/>
      <c r="BG41" s="6">
        <f>225/30</f>
        <v>7.5</v>
      </c>
      <c r="BH41" s="6">
        <f>225/30</f>
        <v>7.5</v>
      </c>
    </row>
    <row r="42" spans="1:60" ht="15.95" customHeight="1" x14ac:dyDescent="0.25">
      <c r="A42" s="4">
        <f t="shared" si="1"/>
        <v>40</v>
      </c>
      <c r="B42" s="110" t="s">
        <v>243</v>
      </c>
      <c r="C42" s="5" t="s">
        <v>85</v>
      </c>
      <c r="D42" s="4" t="s">
        <v>23</v>
      </c>
      <c r="E42" s="4">
        <v>24</v>
      </c>
      <c r="F42" s="6">
        <v>30</v>
      </c>
      <c r="G42" s="6">
        <v>26.548672566371685</v>
      </c>
      <c r="H42" s="6">
        <v>25.527569775357389</v>
      </c>
      <c r="I42" s="4"/>
      <c r="J42" s="7" t="s">
        <v>23</v>
      </c>
      <c r="K42" s="7">
        <v>26.5</v>
      </c>
      <c r="L42" s="7">
        <v>26.4</v>
      </c>
      <c r="M42" s="6" t="s">
        <v>23</v>
      </c>
      <c r="N42" s="6" t="s">
        <v>23</v>
      </c>
      <c r="O42" s="6"/>
      <c r="P42" s="6">
        <v>25.527569775357389</v>
      </c>
      <c r="Q42" s="6">
        <v>25.527569775357389</v>
      </c>
      <c r="R42" s="6">
        <v>25.527569775357389</v>
      </c>
      <c r="S42" s="6">
        <v>25.527569775357389</v>
      </c>
      <c r="T42" s="6"/>
      <c r="U42" s="6"/>
      <c r="V42" s="6">
        <v>25.527569775357389</v>
      </c>
      <c r="W42" s="6">
        <v>25.527569775357389</v>
      </c>
      <c r="X42" s="6">
        <v>25.527569775357389</v>
      </c>
      <c r="Y42" s="6">
        <v>25.527569775357389</v>
      </c>
      <c r="Z42" s="6">
        <v>25.527569775357389</v>
      </c>
      <c r="AA42" s="6">
        <v>25.527569775357389</v>
      </c>
      <c r="AB42" s="6">
        <v>25.527569775357389</v>
      </c>
      <c r="AC42" s="6">
        <v>25.527569775357389</v>
      </c>
      <c r="AD42" s="6">
        <v>25.527569775357389</v>
      </c>
      <c r="AE42" s="6">
        <v>25.527569775357389</v>
      </c>
      <c r="AF42" s="6">
        <v>25.527569775357389</v>
      </c>
      <c r="AG42" s="6">
        <v>25.527569775357389</v>
      </c>
      <c r="AH42" s="6">
        <v>25.527569775357389</v>
      </c>
      <c r="AI42" s="6">
        <v>25.527569775357389</v>
      </c>
      <c r="AJ42" s="6">
        <v>25.527569775357389</v>
      </c>
      <c r="AK42" s="6">
        <v>25.527569775357389</v>
      </c>
      <c r="AL42" s="6">
        <v>25.527569775357389</v>
      </c>
      <c r="AM42" s="6">
        <v>25.527569775357389</v>
      </c>
      <c r="AN42" s="6">
        <v>25.527569775357389</v>
      </c>
      <c r="AO42" s="6">
        <v>25.527569775357389</v>
      </c>
      <c r="AP42" s="6">
        <v>25.527569775357389</v>
      </c>
      <c r="AQ42" s="6">
        <v>25.527569775357389</v>
      </c>
      <c r="AR42" s="6">
        <v>25.527569775357389</v>
      </c>
      <c r="AS42" s="6">
        <v>25.527569775357389</v>
      </c>
      <c r="AT42" s="6">
        <v>25.527569775357389</v>
      </c>
      <c r="AU42" s="6">
        <v>25.527569775357389</v>
      </c>
      <c r="AV42" s="6">
        <v>25.527569775357389</v>
      </c>
      <c r="AW42" s="6">
        <v>25.527569775357389</v>
      </c>
      <c r="AX42" s="6">
        <v>25.527569775357389</v>
      </c>
      <c r="AY42" s="6"/>
      <c r="AZ42" s="6"/>
      <c r="BA42" s="6"/>
      <c r="BB42" s="6"/>
      <c r="BC42" s="6"/>
      <c r="BD42" s="6"/>
      <c r="BE42" s="6"/>
      <c r="BF42" s="6"/>
      <c r="BG42" s="6">
        <v>25.527569775357389</v>
      </c>
      <c r="BH42" s="6">
        <v>25.527569775357389</v>
      </c>
    </row>
    <row r="43" spans="1:60" ht="15.95" customHeight="1" x14ac:dyDescent="0.25">
      <c r="A43" s="4">
        <f t="shared" si="1"/>
        <v>41</v>
      </c>
      <c r="B43" s="110" t="s">
        <v>244</v>
      </c>
      <c r="C43" s="5" t="s">
        <v>83</v>
      </c>
      <c r="D43" s="4" t="s">
        <v>23</v>
      </c>
      <c r="E43" s="4">
        <v>12</v>
      </c>
      <c r="F43" s="6">
        <v>75</v>
      </c>
      <c r="G43" s="6">
        <v>62</v>
      </c>
      <c r="H43" s="6">
        <v>60</v>
      </c>
      <c r="I43" s="7"/>
      <c r="J43" s="7" t="s">
        <v>23</v>
      </c>
      <c r="K43" s="7">
        <v>58</v>
      </c>
      <c r="L43" s="7">
        <v>61.6</v>
      </c>
      <c r="M43" s="6" t="s">
        <v>23</v>
      </c>
      <c r="N43" s="6" t="s">
        <v>23</v>
      </c>
      <c r="O43" s="6"/>
      <c r="P43" s="6">
        <v>60</v>
      </c>
      <c r="Q43" s="6">
        <v>60</v>
      </c>
      <c r="R43" s="6">
        <v>60</v>
      </c>
      <c r="S43" s="6">
        <v>60</v>
      </c>
      <c r="T43" s="6"/>
      <c r="U43" s="6"/>
      <c r="V43" s="6">
        <v>60</v>
      </c>
      <c r="W43" s="6">
        <v>60</v>
      </c>
      <c r="X43" s="6">
        <v>60</v>
      </c>
      <c r="Y43" s="6">
        <v>60</v>
      </c>
      <c r="Z43" s="6">
        <v>60</v>
      </c>
      <c r="AA43" s="6">
        <v>60</v>
      </c>
      <c r="AB43" s="6">
        <v>60</v>
      </c>
      <c r="AC43" s="6">
        <v>60</v>
      </c>
      <c r="AD43" s="6">
        <v>60</v>
      </c>
      <c r="AE43" s="6">
        <v>60</v>
      </c>
      <c r="AF43" s="6">
        <v>60</v>
      </c>
      <c r="AG43" s="6">
        <v>60</v>
      </c>
      <c r="AH43" s="6">
        <v>60</v>
      </c>
      <c r="AI43" s="6">
        <v>60</v>
      </c>
      <c r="AJ43" s="6">
        <v>60</v>
      </c>
      <c r="AK43" s="6">
        <v>60</v>
      </c>
      <c r="AL43" s="6">
        <v>60</v>
      </c>
      <c r="AM43" s="6">
        <v>60</v>
      </c>
      <c r="AN43" s="6">
        <v>60</v>
      </c>
      <c r="AO43" s="6">
        <v>60</v>
      </c>
      <c r="AP43" s="6">
        <v>60</v>
      </c>
      <c r="AQ43" s="6">
        <v>60</v>
      </c>
      <c r="AR43" s="6">
        <v>60</v>
      </c>
      <c r="AS43" s="6">
        <v>60</v>
      </c>
      <c r="AT43" s="6">
        <v>60</v>
      </c>
      <c r="AU43" s="6">
        <v>60</v>
      </c>
      <c r="AV43" s="6">
        <v>60</v>
      </c>
      <c r="AW43" s="6">
        <v>60</v>
      </c>
      <c r="AX43" s="6">
        <v>60</v>
      </c>
      <c r="AY43" s="6"/>
      <c r="AZ43" s="6"/>
      <c r="BA43" s="6"/>
      <c r="BB43" s="6"/>
      <c r="BC43" s="6"/>
      <c r="BD43" s="6"/>
      <c r="BE43" s="6"/>
      <c r="BF43" s="6"/>
      <c r="BG43" s="6">
        <v>60</v>
      </c>
      <c r="BH43" s="6">
        <v>60</v>
      </c>
    </row>
    <row r="44" spans="1:60" ht="15.95" customHeight="1" x14ac:dyDescent="0.25">
      <c r="A44" s="4">
        <f t="shared" si="1"/>
        <v>42</v>
      </c>
      <c r="B44" s="110" t="s">
        <v>244</v>
      </c>
      <c r="C44" s="5" t="s">
        <v>81</v>
      </c>
      <c r="D44" s="4" t="s">
        <v>23</v>
      </c>
      <c r="E44" s="4">
        <v>12</v>
      </c>
      <c r="F44" s="6">
        <v>80</v>
      </c>
      <c r="G44" s="6">
        <v>67</v>
      </c>
      <c r="H44" s="6">
        <v>65</v>
      </c>
      <c r="I44" s="7"/>
      <c r="J44" s="7" t="s">
        <v>23</v>
      </c>
      <c r="K44" s="7">
        <v>65</v>
      </c>
      <c r="L44" s="7">
        <v>70.400000000000006</v>
      </c>
      <c r="M44" s="6" t="s">
        <v>23</v>
      </c>
      <c r="N44" s="6" t="s">
        <v>23</v>
      </c>
      <c r="O44" s="6"/>
      <c r="P44" s="6">
        <v>65</v>
      </c>
      <c r="Q44" s="6">
        <v>65</v>
      </c>
      <c r="R44" s="6">
        <v>65</v>
      </c>
      <c r="S44" s="6">
        <v>65</v>
      </c>
      <c r="T44" s="6"/>
      <c r="U44" s="6"/>
      <c r="V44" s="6">
        <v>65</v>
      </c>
      <c r="W44" s="6">
        <v>65</v>
      </c>
      <c r="X44" s="6">
        <v>65</v>
      </c>
      <c r="Y44" s="6">
        <v>65</v>
      </c>
      <c r="Z44" s="6">
        <v>65</v>
      </c>
      <c r="AA44" s="6">
        <v>65</v>
      </c>
      <c r="AB44" s="6">
        <v>65</v>
      </c>
      <c r="AC44" s="6">
        <v>65</v>
      </c>
      <c r="AD44" s="6">
        <v>65</v>
      </c>
      <c r="AE44" s="6">
        <v>65</v>
      </c>
      <c r="AF44" s="6">
        <v>65</v>
      </c>
      <c r="AG44" s="6">
        <v>65</v>
      </c>
      <c r="AH44" s="6">
        <v>65</v>
      </c>
      <c r="AI44" s="128">
        <v>66</v>
      </c>
      <c r="AJ44" s="6">
        <v>65</v>
      </c>
      <c r="AK44" s="6">
        <v>65</v>
      </c>
      <c r="AL44" s="6">
        <v>65</v>
      </c>
      <c r="AM44" s="6">
        <v>65</v>
      </c>
      <c r="AN44" s="6">
        <v>65</v>
      </c>
      <c r="AO44" s="6">
        <v>65</v>
      </c>
      <c r="AP44" s="6">
        <v>65</v>
      </c>
      <c r="AQ44" s="6">
        <v>65</v>
      </c>
      <c r="AR44" s="6">
        <v>65</v>
      </c>
      <c r="AS44" s="6">
        <v>65</v>
      </c>
      <c r="AT44" s="6">
        <v>65</v>
      </c>
      <c r="AU44" s="6">
        <v>65</v>
      </c>
      <c r="AV44" s="6">
        <v>65</v>
      </c>
      <c r="AW44" s="6">
        <v>65</v>
      </c>
      <c r="AX44" s="6">
        <v>65</v>
      </c>
      <c r="AY44" s="6"/>
      <c r="AZ44" s="6"/>
      <c r="BA44" s="6"/>
      <c r="BB44" s="6"/>
      <c r="BC44" s="6"/>
      <c r="BD44" s="6"/>
      <c r="BE44" s="6"/>
      <c r="BF44" s="6"/>
      <c r="BG44" s="6">
        <v>65</v>
      </c>
      <c r="BH44" s="6">
        <v>65</v>
      </c>
    </row>
    <row r="45" spans="1:60" ht="15.95" customHeight="1" x14ac:dyDescent="0.25">
      <c r="A45" s="4">
        <f t="shared" si="1"/>
        <v>43</v>
      </c>
      <c r="B45" s="110" t="s">
        <v>244</v>
      </c>
      <c r="C45" s="5" t="s">
        <v>221</v>
      </c>
      <c r="D45" s="4" t="s">
        <v>23</v>
      </c>
      <c r="E45" s="4">
        <v>12</v>
      </c>
      <c r="F45" s="6">
        <v>85</v>
      </c>
      <c r="G45" s="6">
        <v>75</v>
      </c>
      <c r="H45" s="6">
        <v>73</v>
      </c>
      <c r="I45" s="7"/>
      <c r="J45" s="7" t="s">
        <v>23</v>
      </c>
      <c r="K45" s="7">
        <v>73</v>
      </c>
      <c r="L45" s="7">
        <v>74.8</v>
      </c>
      <c r="M45" s="6" t="s">
        <v>23</v>
      </c>
      <c r="N45" s="6" t="s">
        <v>23</v>
      </c>
      <c r="O45" s="6"/>
      <c r="P45" s="6">
        <v>73</v>
      </c>
      <c r="Q45" s="6">
        <v>73</v>
      </c>
      <c r="R45" s="6">
        <v>73</v>
      </c>
      <c r="S45" s="6">
        <v>73</v>
      </c>
      <c r="T45" s="6"/>
      <c r="U45" s="6"/>
      <c r="V45" s="6">
        <v>73</v>
      </c>
      <c r="W45" s="6">
        <v>73</v>
      </c>
      <c r="X45" s="6">
        <v>73</v>
      </c>
      <c r="Y45" s="6">
        <v>73</v>
      </c>
      <c r="Z45" s="6">
        <v>73</v>
      </c>
      <c r="AA45" s="6">
        <v>73</v>
      </c>
      <c r="AB45" s="6">
        <v>73</v>
      </c>
      <c r="AC45" s="6">
        <v>73</v>
      </c>
      <c r="AD45" s="6">
        <v>73</v>
      </c>
      <c r="AE45" s="6">
        <v>73</v>
      </c>
      <c r="AF45" s="6">
        <v>73</v>
      </c>
      <c r="AG45" s="128">
        <v>70</v>
      </c>
      <c r="AH45" s="6">
        <v>73</v>
      </c>
      <c r="AI45" s="128">
        <v>72</v>
      </c>
      <c r="AJ45" s="6">
        <v>73</v>
      </c>
      <c r="AK45" s="6">
        <v>73</v>
      </c>
      <c r="AL45" s="6">
        <v>73</v>
      </c>
      <c r="AM45" s="6">
        <v>73</v>
      </c>
      <c r="AN45" s="6">
        <v>73</v>
      </c>
      <c r="AO45" s="6">
        <v>73</v>
      </c>
      <c r="AP45" s="6">
        <v>73</v>
      </c>
      <c r="AQ45" s="6">
        <v>73</v>
      </c>
      <c r="AR45" s="6">
        <v>73</v>
      </c>
      <c r="AS45" s="6">
        <v>73</v>
      </c>
      <c r="AT45" s="6">
        <v>73</v>
      </c>
      <c r="AU45" s="6">
        <v>73</v>
      </c>
      <c r="AV45" s="6">
        <v>73</v>
      </c>
      <c r="AW45" s="6">
        <v>73</v>
      </c>
      <c r="AX45" s="6">
        <v>73</v>
      </c>
      <c r="AY45" s="6"/>
      <c r="AZ45" s="6"/>
      <c r="BA45" s="6"/>
      <c r="BB45" s="6"/>
      <c r="BC45" s="6"/>
      <c r="BD45" s="6"/>
      <c r="BE45" s="6"/>
      <c r="BF45" s="6"/>
      <c r="BG45" s="6">
        <v>73</v>
      </c>
      <c r="BH45" s="6">
        <v>73</v>
      </c>
    </row>
    <row r="46" spans="1:60" ht="15.95" customHeight="1" x14ac:dyDescent="0.25">
      <c r="A46" s="4">
        <f t="shared" si="1"/>
        <v>44</v>
      </c>
      <c r="B46" s="110"/>
      <c r="C46" s="5" t="s">
        <v>336</v>
      </c>
      <c r="D46" s="4"/>
      <c r="E46" s="4">
        <v>1</v>
      </c>
      <c r="F46" s="6">
        <v>10780</v>
      </c>
      <c r="G46" s="6"/>
      <c r="H46" s="6">
        <v>8900</v>
      </c>
      <c r="I46" s="7"/>
      <c r="J46" s="7"/>
      <c r="K46" s="7"/>
      <c r="L46" s="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>
        <v>8900</v>
      </c>
      <c r="AF46" s="6"/>
      <c r="AG46" s="6"/>
      <c r="AH46" s="6">
        <v>8900</v>
      </c>
      <c r="AI46" s="128">
        <v>9600</v>
      </c>
      <c r="AJ46" s="6"/>
      <c r="AK46" s="6"/>
      <c r="AL46" s="6"/>
      <c r="AM46" s="6"/>
      <c r="AN46" s="6"/>
      <c r="AO46" s="6"/>
      <c r="AP46" s="6"/>
      <c r="AQ46" s="128">
        <v>9000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t="38.25" customHeight="1" x14ac:dyDescent="0.25">
      <c r="A47" s="4">
        <f t="shared" si="1"/>
        <v>45</v>
      </c>
      <c r="B47" s="110"/>
      <c r="C47" s="5" t="s">
        <v>348</v>
      </c>
      <c r="D47" s="4"/>
      <c r="E47" s="4"/>
      <c r="F47" s="6"/>
      <c r="G47" s="6"/>
      <c r="H47" s="6"/>
      <c r="I47" s="7"/>
      <c r="J47" s="7"/>
      <c r="K47" s="7"/>
      <c r="L47" s="7"/>
      <c r="M47" s="6"/>
      <c r="N47" s="6"/>
      <c r="O47" s="6"/>
      <c r="P47" s="130" t="s">
        <v>349</v>
      </c>
      <c r="Q47" s="6"/>
      <c r="R47" s="6"/>
      <c r="S47" s="130" t="s">
        <v>349</v>
      </c>
      <c r="T47" s="6"/>
      <c r="U47" s="6"/>
      <c r="V47" s="131" t="s">
        <v>350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t="15" customHeight="1" x14ac:dyDescent="0.25">
      <c r="H48" s="76"/>
    </row>
  </sheetData>
  <mergeCells count="6">
    <mergeCell ref="I36:I39"/>
    <mergeCell ref="BG1:BH1"/>
    <mergeCell ref="P1:R1"/>
    <mergeCell ref="T1:U1"/>
    <mergeCell ref="W1:BF1"/>
    <mergeCell ref="I31:I35"/>
  </mergeCells>
  <printOptions horizontalCentered="1"/>
  <pageMargins left="0.25" right="0.25" top="0.75" bottom="0.75" header="0.3" footer="0.3"/>
  <pageSetup paperSize="9" scale="8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B80E-628F-441C-89BD-515D1A0BEC60}">
  <sheetPr>
    <pageSetUpPr fitToPage="1"/>
  </sheetPr>
  <dimension ref="A1:G36"/>
  <sheetViews>
    <sheetView workbookViewId="0">
      <selection activeCell="B16" sqref="B16:B36"/>
    </sheetView>
  </sheetViews>
  <sheetFormatPr defaultRowHeight="15" x14ac:dyDescent="0.25"/>
  <cols>
    <col min="1" max="1" width="6.42578125" bestFit="1" customWidth="1"/>
    <col min="2" max="2" width="36" bestFit="1" customWidth="1"/>
    <col min="3" max="3" width="13.28515625" bestFit="1" customWidth="1"/>
    <col min="4" max="5" width="13.28515625" customWidth="1"/>
    <col min="6" max="6" width="10.85546875" bestFit="1" customWidth="1"/>
    <col min="7" max="7" width="11.5703125" bestFit="1" customWidth="1"/>
  </cols>
  <sheetData>
    <row r="1" spans="1:7" x14ac:dyDescent="0.25">
      <c r="A1" s="149" t="s">
        <v>284</v>
      </c>
      <c r="B1" s="149"/>
      <c r="C1" s="149"/>
      <c r="D1" s="149"/>
      <c r="E1" s="149"/>
      <c r="F1" s="149"/>
      <c r="G1" s="149"/>
    </row>
    <row r="2" spans="1:7" ht="15.75" x14ac:dyDescent="0.25">
      <c r="A2" s="116" t="s">
        <v>4</v>
      </c>
      <c r="B2" s="116" t="s">
        <v>285</v>
      </c>
      <c r="C2" s="116" t="s">
        <v>286</v>
      </c>
      <c r="D2" s="116" t="s">
        <v>129</v>
      </c>
      <c r="E2" s="116" t="s">
        <v>140</v>
      </c>
      <c r="F2" s="116" t="s">
        <v>131</v>
      </c>
      <c r="G2" s="116" t="s">
        <v>229</v>
      </c>
    </row>
    <row r="3" spans="1:7" ht="15.75" x14ac:dyDescent="0.25">
      <c r="A3" s="117">
        <v>1</v>
      </c>
      <c r="B3" s="118" t="s">
        <v>316</v>
      </c>
      <c r="C3" s="118" t="s">
        <v>287</v>
      </c>
      <c r="D3" s="119">
        <v>81.167999999999978</v>
      </c>
      <c r="E3" s="119">
        <v>184</v>
      </c>
      <c r="F3" s="119">
        <v>355</v>
      </c>
      <c r="G3" s="81"/>
    </row>
    <row r="4" spans="1:7" ht="15.75" x14ac:dyDescent="0.25">
      <c r="A4" s="117">
        <f>A3+1</f>
        <v>2</v>
      </c>
      <c r="B4" s="118" t="s">
        <v>317</v>
      </c>
      <c r="C4" s="118" t="s">
        <v>287</v>
      </c>
      <c r="D4" s="119">
        <v>75</v>
      </c>
      <c r="E4" s="119">
        <v>170</v>
      </c>
      <c r="F4" s="119">
        <v>330</v>
      </c>
      <c r="G4" s="81" t="s">
        <v>318</v>
      </c>
    </row>
    <row r="5" spans="1:7" ht="15.75" x14ac:dyDescent="0.25">
      <c r="A5" s="117">
        <f t="shared" ref="A5:A7" si="0">A4+1</f>
        <v>3</v>
      </c>
      <c r="B5" s="118" t="s">
        <v>93</v>
      </c>
      <c r="C5" s="118" t="s">
        <v>2</v>
      </c>
      <c r="D5" s="119">
        <v>80.36</v>
      </c>
      <c r="E5" s="119">
        <v>184.5</v>
      </c>
      <c r="F5" s="119">
        <v>355</v>
      </c>
      <c r="G5" s="81"/>
    </row>
    <row r="6" spans="1:7" ht="15.75" x14ac:dyDescent="0.25">
      <c r="A6" s="117">
        <f t="shared" si="0"/>
        <v>4</v>
      </c>
      <c r="B6" s="118" t="s">
        <v>320</v>
      </c>
      <c r="C6" s="118" t="s">
        <v>2</v>
      </c>
      <c r="D6" s="119">
        <v>82.65</v>
      </c>
      <c r="E6" s="119">
        <v>184.5</v>
      </c>
      <c r="F6" s="119">
        <v>355</v>
      </c>
      <c r="G6" s="81"/>
    </row>
    <row r="7" spans="1:7" ht="15.75" x14ac:dyDescent="0.25">
      <c r="A7" s="117">
        <f t="shared" si="0"/>
        <v>5</v>
      </c>
      <c r="B7" s="118" t="s">
        <v>321</v>
      </c>
      <c r="C7" s="118" t="s">
        <v>2</v>
      </c>
      <c r="D7" s="119">
        <v>81.167999999999978</v>
      </c>
      <c r="E7" s="119">
        <v>184.5</v>
      </c>
      <c r="F7" s="119">
        <v>355</v>
      </c>
      <c r="G7" s="81"/>
    </row>
    <row r="8" spans="1:7" ht="15.75" x14ac:dyDescent="0.25">
      <c r="A8" s="117">
        <f t="shared" ref="A8:A36" si="1">A7+1</f>
        <v>6</v>
      </c>
      <c r="B8" s="118" t="s">
        <v>235</v>
      </c>
      <c r="C8" s="118" t="s">
        <v>2</v>
      </c>
      <c r="D8" s="119">
        <v>81.167999999999978</v>
      </c>
      <c r="E8" s="119">
        <v>184.5</v>
      </c>
      <c r="F8" s="119">
        <v>355</v>
      </c>
      <c r="G8" s="81"/>
    </row>
    <row r="9" spans="1:7" ht="15.75" x14ac:dyDescent="0.25">
      <c r="A9" s="117">
        <f t="shared" ref="A9:A10" si="2">A8+1</f>
        <v>7</v>
      </c>
      <c r="B9" s="118" t="s">
        <v>322</v>
      </c>
      <c r="C9" s="118" t="s">
        <v>2</v>
      </c>
      <c r="D9" s="119">
        <v>84.549999999999983</v>
      </c>
      <c r="E9" s="119">
        <v>193</v>
      </c>
      <c r="F9" s="119">
        <v>378</v>
      </c>
      <c r="G9" s="81"/>
    </row>
    <row r="10" spans="1:7" ht="15.75" x14ac:dyDescent="0.25">
      <c r="A10" s="117">
        <f t="shared" si="2"/>
        <v>8</v>
      </c>
      <c r="B10" s="118" t="s">
        <v>288</v>
      </c>
      <c r="C10" s="118" t="s">
        <v>289</v>
      </c>
      <c r="D10" s="119"/>
      <c r="E10" s="119"/>
      <c r="F10" s="119">
        <v>335</v>
      </c>
      <c r="G10" s="81"/>
    </row>
    <row r="11" spans="1:7" ht="15.75" x14ac:dyDescent="0.25">
      <c r="A11" s="117">
        <f t="shared" si="1"/>
        <v>9</v>
      </c>
      <c r="B11" s="118" t="s">
        <v>290</v>
      </c>
      <c r="C11" s="118" t="s">
        <v>291</v>
      </c>
      <c r="D11" s="119"/>
      <c r="E11" s="119"/>
      <c r="F11" s="119">
        <v>335</v>
      </c>
      <c r="G11" s="81"/>
    </row>
    <row r="12" spans="1:7" ht="15.75" x14ac:dyDescent="0.25">
      <c r="A12" s="117">
        <f t="shared" si="1"/>
        <v>10</v>
      </c>
      <c r="B12" s="118" t="s">
        <v>312</v>
      </c>
      <c r="C12" s="118" t="s">
        <v>293</v>
      </c>
      <c r="D12" s="119"/>
      <c r="E12" s="119"/>
      <c r="F12" s="119">
        <v>335</v>
      </c>
      <c r="G12" s="81"/>
    </row>
    <row r="13" spans="1:7" ht="15.75" x14ac:dyDescent="0.25">
      <c r="A13" s="117">
        <f t="shared" si="1"/>
        <v>11</v>
      </c>
      <c r="B13" s="118" t="s">
        <v>311</v>
      </c>
      <c r="C13" s="118" t="s">
        <v>293</v>
      </c>
      <c r="D13" s="119"/>
      <c r="E13" s="119"/>
      <c r="F13" s="119">
        <v>320</v>
      </c>
      <c r="G13" s="81" t="s">
        <v>319</v>
      </c>
    </row>
    <row r="14" spans="1:7" ht="15.75" x14ac:dyDescent="0.25">
      <c r="A14" s="117">
        <f t="shared" si="1"/>
        <v>12</v>
      </c>
      <c r="B14" s="118" t="s">
        <v>309</v>
      </c>
      <c r="C14" s="118" t="s">
        <v>310</v>
      </c>
      <c r="D14" s="119"/>
      <c r="E14" s="119"/>
      <c r="F14" s="119">
        <v>345</v>
      </c>
      <c r="G14" s="81"/>
    </row>
    <row r="15" spans="1:7" ht="15.75" x14ac:dyDescent="0.25">
      <c r="A15" s="117">
        <f t="shared" si="1"/>
        <v>13</v>
      </c>
      <c r="B15" s="118" t="s">
        <v>292</v>
      </c>
      <c r="C15" s="118" t="s">
        <v>293</v>
      </c>
      <c r="D15" s="119"/>
      <c r="E15" s="119"/>
      <c r="F15" s="119">
        <v>340</v>
      </c>
      <c r="G15" s="81"/>
    </row>
    <row r="16" spans="1:7" ht="15.75" x14ac:dyDescent="0.25">
      <c r="A16" s="117">
        <f t="shared" si="1"/>
        <v>14</v>
      </c>
      <c r="B16" s="118" t="s">
        <v>294</v>
      </c>
      <c r="C16" s="118" t="s">
        <v>295</v>
      </c>
      <c r="D16" s="119"/>
      <c r="E16" s="119"/>
      <c r="F16" s="119">
        <v>340</v>
      </c>
      <c r="G16" s="81"/>
    </row>
    <row r="17" spans="1:7" ht="15.75" x14ac:dyDescent="0.25">
      <c r="A17" s="117">
        <f t="shared" si="1"/>
        <v>15</v>
      </c>
      <c r="B17" s="118" t="s">
        <v>252</v>
      </c>
      <c r="C17" s="118" t="s">
        <v>295</v>
      </c>
      <c r="D17" s="119"/>
      <c r="E17" s="119"/>
      <c r="F17" s="119">
        <v>350</v>
      </c>
      <c r="G17" s="81"/>
    </row>
    <row r="18" spans="1:7" ht="15.75" x14ac:dyDescent="0.25">
      <c r="A18" s="117">
        <f t="shared" si="1"/>
        <v>16</v>
      </c>
      <c r="B18" s="118" t="s">
        <v>251</v>
      </c>
      <c r="C18" s="118" t="s">
        <v>295</v>
      </c>
      <c r="D18" s="119"/>
      <c r="E18" s="119"/>
      <c r="F18" s="119">
        <v>350</v>
      </c>
      <c r="G18" s="81"/>
    </row>
    <row r="19" spans="1:7" ht="15.75" x14ac:dyDescent="0.25">
      <c r="A19" s="117">
        <f t="shared" si="1"/>
        <v>17</v>
      </c>
      <c r="B19" s="118" t="s">
        <v>257</v>
      </c>
      <c r="C19" s="118" t="s">
        <v>295</v>
      </c>
      <c r="D19" s="119"/>
      <c r="E19" s="119"/>
      <c r="F19" s="119">
        <v>350</v>
      </c>
      <c r="G19" s="81"/>
    </row>
    <row r="20" spans="1:7" ht="15.75" x14ac:dyDescent="0.25">
      <c r="A20" s="117">
        <f t="shared" si="1"/>
        <v>18</v>
      </c>
      <c r="B20" s="118" t="s">
        <v>270</v>
      </c>
      <c r="C20" s="118" t="s">
        <v>295</v>
      </c>
      <c r="D20" s="119"/>
      <c r="E20" s="119"/>
      <c r="F20" s="119">
        <v>360</v>
      </c>
      <c r="G20" s="81"/>
    </row>
    <row r="21" spans="1:7" ht="15.75" x14ac:dyDescent="0.25">
      <c r="A21" s="117">
        <f t="shared" si="1"/>
        <v>19</v>
      </c>
      <c r="B21" s="118" t="s">
        <v>296</v>
      </c>
      <c r="C21" s="118" t="s">
        <v>295</v>
      </c>
      <c r="D21" s="119"/>
      <c r="E21" s="119"/>
      <c r="F21" s="119">
        <v>356</v>
      </c>
      <c r="G21" s="81"/>
    </row>
    <row r="22" spans="1:7" ht="15.75" x14ac:dyDescent="0.25">
      <c r="A22" s="117">
        <f t="shared" si="1"/>
        <v>20</v>
      </c>
      <c r="B22" s="118" t="s">
        <v>297</v>
      </c>
      <c r="C22" s="118" t="s">
        <v>295</v>
      </c>
      <c r="D22" s="119"/>
      <c r="E22" s="119"/>
      <c r="F22" s="119">
        <v>356</v>
      </c>
      <c r="G22" s="81"/>
    </row>
    <row r="23" spans="1:7" ht="15.75" x14ac:dyDescent="0.25">
      <c r="A23" s="117">
        <f t="shared" si="1"/>
        <v>21</v>
      </c>
      <c r="B23" s="118" t="s">
        <v>298</v>
      </c>
      <c r="C23" s="118" t="s">
        <v>295</v>
      </c>
      <c r="D23" s="119"/>
      <c r="E23" s="119"/>
      <c r="F23" s="119">
        <v>356</v>
      </c>
      <c r="G23" s="81"/>
    </row>
    <row r="24" spans="1:7" ht="15.75" x14ac:dyDescent="0.25">
      <c r="A24" s="117">
        <f t="shared" si="1"/>
        <v>22</v>
      </c>
      <c r="B24" s="118" t="s">
        <v>299</v>
      </c>
      <c r="C24" s="118" t="s">
        <v>295</v>
      </c>
      <c r="D24" s="119"/>
      <c r="E24" s="119"/>
      <c r="F24" s="119">
        <v>356</v>
      </c>
      <c r="G24" s="81"/>
    </row>
    <row r="25" spans="1:7" ht="15.75" x14ac:dyDescent="0.25">
      <c r="A25" s="117">
        <f t="shared" si="1"/>
        <v>23</v>
      </c>
      <c r="B25" s="118" t="s">
        <v>300</v>
      </c>
      <c r="C25" s="118" t="s">
        <v>295</v>
      </c>
      <c r="D25" s="119"/>
      <c r="E25" s="119"/>
      <c r="F25" s="119">
        <v>365</v>
      </c>
      <c r="G25" s="81"/>
    </row>
    <row r="26" spans="1:7" ht="15.75" x14ac:dyDescent="0.25">
      <c r="A26" s="117">
        <f t="shared" si="1"/>
        <v>24</v>
      </c>
      <c r="B26" s="118" t="s">
        <v>259</v>
      </c>
      <c r="C26" s="118" t="s">
        <v>295</v>
      </c>
      <c r="D26" s="119"/>
      <c r="E26" s="119"/>
      <c r="F26" s="119">
        <v>365</v>
      </c>
      <c r="G26" s="81"/>
    </row>
    <row r="27" spans="1:7" ht="15.75" x14ac:dyDescent="0.25">
      <c r="A27" s="117">
        <f t="shared" si="1"/>
        <v>25</v>
      </c>
      <c r="B27" s="118" t="s">
        <v>301</v>
      </c>
      <c r="C27" s="118" t="s">
        <v>295</v>
      </c>
      <c r="D27" s="119"/>
      <c r="E27" s="119"/>
      <c r="F27" s="119">
        <v>365</v>
      </c>
      <c r="G27" s="81"/>
    </row>
    <row r="28" spans="1:7" ht="15.75" x14ac:dyDescent="0.25">
      <c r="A28" s="117">
        <f t="shared" si="1"/>
        <v>26</v>
      </c>
      <c r="B28" s="118" t="s">
        <v>302</v>
      </c>
      <c r="C28" s="118" t="s">
        <v>295</v>
      </c>
      <c r="D28" s="119"/>
      <c r="E28" s="119"/>
      <c r="F28" s="119">
        <v>365</v>
      </c>
      <c r="G28" s="81"/>
    </row>
    <row r="29" spans="1:7" ht="15.75" x14ac:dyDescent="0.25">
      <c r="A29" s="117">
        <f t="shared" si="1"/>
        <v>27</v>
      </c>
      <c r="B29" s="118" t="s">
        <v>303</v>
      </c>
      <c r="C29" s="118" t="s">
        <v>295</v>
      </c>
      <c r="D29" s="119"/>
      <c r="E29" s="119"/>
      <c r="F29" s="119">
        <v>365</v>
      </c>
      <c r="G29" s="81"/>
    </row>
    <row r="30" spans="1:7" ht="15.75" x14ac:dyDescent="0.25">
      <c r="A30" s="117">
        <f t="shared" si="1"/>
        <v>28</v>
      </c>
      <c r="B30" s="118" t="s">
        <v>304</v>
      </c>
      <c r="C30" s="118" t="s">
        <v>295</v>
      </c>
      <c r="D30" s="119"/>
      <c r="E30" s="119"/>
      <c r="F30" s="119">
        <v>365</v>
      </c>
      <c r="G30" s="81"/>
    </row>
    <row r="31" spans="1:7" ht="15.75" x14ac:dyDescent="0.25">
      <c r="A31" s="117">
        <f t="shared" si="1"/>
        <v>29</v>
      </c>
      <c r="B31" s="118" t="s">
        <v>305</v>
      </c>
      <c r="C31" s="118" t="s">
        <v>295</v>
      </c>
      <c r="D31" s="119"/>
      <c r="E31" s="119"/>
      <c r="F31" s="119">
        <v>365</v>
      </c>
      <c r="G31" s="81"/>
    </row>
    <row r="32" spans="1:7" ht="15.75" x14ac:dyDescent="0.25">
      <c r="A32" s="117">
        <f t="shared" si="1"/>
        <v>30</v>
      </c>
      <c r="B32" s="118" t="s">
        <v>260</v>
      </c>
      <c r="C32" s="118" t="s">
        <v>295</v>
      </c>
      <c r="D32" s="119"/>
      <c r="E32" s="119"/>
      <c r="F32" s="119">
        <v>365</v>
      </c>
      <c r="G32" s="81"/>
    </row>
    <row r="33" spans="1:7" ht="15.75" x14ac:dyDescent="0.25">
      <c r="A33" s="117">
        <f t="shared" si="1"/>
        <v>31</v>
      </c>
      <c r="B33" s="118" t="s">
        <v>306</v>
      </c>
      <c r="C33" s="118" t="s">
        <v>295</v>
      </c>
      <c r="D33" s="119"/>
      <c r="E33" s="119"/>
      <c r="F33" s="119">
        <v>360</v>
      </c>
      <c r="G33" s="81"/>
    </row>
    <row r="34" spans="1:7" ht="15.75" x14ac:dyDescent="0.25">
      <c r="A34" s="117">
        <f t="shared" si="1"/>
        <v>32</v>
      </c>
      <c r="B34" s="118" t="s">
        <v>307</v>
      </c>
      <c r="C34" s="118" t="s">
        <v>295</v>
      </c>
      <c r="D34" s="119"/>
      <c r="E34" s="119"/>
      <c r="F34" s="119">
        <v>356</v>
      </c>
      <c r="G34" s="81"/>
    </row>
    <row r="35" spans="1:7" ht="15.75" x14ac:dyDescent="0.25">
      <c r="A35" s="117">
        <f t="shared" si="1"/>
        <v>33</v>
      </c>
      <c r="B35" s="118" t="s">
        <v>308</v>
      </c>
      <c r="C35" s="118" t="s">
        <v>295</v>
      </c>
      <c r="D35" s="119"/>
      <c r="E35" s="119"/>
      <c r="F35" s="119">
        <v>360</v>
      </c>
      <c r="G35" s="119"/>
    </row>
    <row r="36" spans="1:7" ht="15.75" x14ac:dyDescent="0.25">
      <c r="A36" s="117">
        <f t="shared" si="1"/>
        <v>34</v>
      </c>
      <c r="B36" s="118" t="s">
        <v>315</v>
      </c>
      <c r="C36" s="118" t="s">
        <v>295</v>
      </c>
      <c r="D36" s="119"/>
      <c r="E36" s="119"/>
      <c r="F36" s="119">
        <v>356</v>
      </c>
      <c r="G36" s="119"/>
    </row>
  </sheetData>
  <mergeCells count="1">
    <mergeCell ref="A1:G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2BAC-1744-4090-BDC8-FA5023D53D64}">
  <sheetPr>
    <pageSetUpPr fitToPage="1"/>
  </sheetPr>
  <dimension ref="A1:S14"/>
  <sheetViews>
    <sheetView workbookViewId="0">
      <selection activeCell="B26" sqref="B26"/>
    </sheetView>
  </sheetViews>
  <sheetFormatPr defaultRowHeight="15" x14ac:dyDescent="0.25"/>
  <cols>
    <col min="1" max="1" width="11.42578125" bestFit="1" customWidth="1"/>
    <col min="2" max="2" width="34.85546875" bestFit="1" customWidth="1"/>
    <col min="3" max="3" width="27.28515625" bestFit="1" customWidth="1"/>
    <col min="4" max="5" width="7.7109375" hidden="1" customWidth="1"/>
    <col min="6" max="7" width="7.7109375" customWidth="1"/>
    <col min="10" max="10" width="33.28515625" hidden="1" customWidth="1"/>
    <col min="11" max="11" width="11.5703125" style="72" hidden="1" customWidth="1"/>
    <col min="12" max="12" width="8.7109375" style="72" hidden="1" customWidth="1"/>
    <col min="13" max="13" width="13.7109375" style="72" hidden="1" customWidth="1"/>
    <col min="14" max="14" width="22.140625" hidden="1" customWidth="1"/>
    <col min="15" max="19" width="0" hidden="1" customWidth="1"/>
  </cols>
  <sheetData>
    <row r="1" spans="1:19" s="115" customFormat="1" x14ac:dyDescent="0.25">
      <c r="D1" s="150" t="s">
        <v>272</v>
      </c>
      <c r="E1" s="150"/>
      <c r="F1" s="151" t="s">
        <v>273</v>
      </c>
      <c r="G1" s="151"/>
      <c r="J1" s="23" t="s">
        <v>5</v>
      </c>
      <c r="K1" s="23" t="s">
        <v>7</v>
      </c>
      <c r="L1" s="23" t="s">
        <v>274</v>
      </c>
      <c r="M1" s="23" t="s">
        <v>275</v>
      </c>
      <c r="N1" s="24" t="s">
        <v>154</v>
      </c>
      <c r="O1" s="74" t="s">
        <v>13</v>
      </c>
      <c r="P1" s="74" t="s">
        <v>15</v>
      </c>
      <c r="Q1" s="74" t="s">
        <v>93</v>
      </c>
      <c r="R1" s="74" t="s">
        <v>235</v>
      </c>
      <c r="S1" s="74" t="s">
        <v>19</v>
      </c>
    </row>
    <row r="2" spans="1:19" x14ac:dyDescent="0.25">
      <c r="A2" s="111" t="s">
        <v>248</v>
      </c>
      <c r="B2" s="111" t="s">
        <v>249</v>
      </c>
      <c r="C2" s="111" t="s">
        <v>264</v>
      </c>
      <c r="D2" s="114" t="s">
        <v>262</v>
      </c>
      <c r="E2" s="114" t="s">
        <v>261</v>
      </c>
      <c r="F2" s="114" t="s">
        <v>262</v>
      </c>
      <c r="G2" s="114" t="s">
        <v>261</v>
      </c>
      <c r="J2" s="5" t="s">
        <v>21</v>
      </c>
      <c r="K2" s="7">
        <v>30</v>
      </c>
      <c r="L2" s="7">
        <v>27.09</v>
      </c>
      <c r="M2" s="7">
        <v>26.16</v>
      </c>
      <c r="N2" s="4" t="s">
        <v>246</v>
      </c>
      <c r="O2" s="6" t="s">
        <v>23</v>
      </c>
      <c r="P2" s="6" t="s">
        <v>23</v>
      </c>
      <c r="Q2" s="6" t="s">
        <v>23</v>
      </c>
      <c r="R2" s="6" t="s">
        <v>23</v>
      </c>
      <c r="S2" s="6" t="s">
        <v>23</v>
      </c>
    </row>
    <row r="3" spans="1:19" x14ac:dyDescent="0.25">
      <c r="A3" s="112" t="s">
        <v>250</v>
      </c>
      <c r="B3" s="81" t="s">
        <v>251</v>
      </c>
      <c r="C3" s="81" t="s">
        <v>263</v>
      </c>
      <c r="D3" s="113">
        <v>27</v>
      </c>
      <c r="E3" s="113">
        <v>0</v>
      </c>
      <c r="F3" s="113">
        <f>D3+1</f>
        <v>28</v>
      </c>
      <c r="G3" s="113">
        <v>0</v>
      </c>
      <c r="J3" s="5" t="s">
        <v>25</v>
      </c>
      <c r="K3" s="7">
        <v>30</v>
      </c>
      <c r="L3" s="7">
        <v>28.4</v>
      </c>
      <c r="M3" s="7">
        <v>27.75</v>
      </c>
      <c r="N3" s="4" t="s">
        <v>247</v>
      </c>
      <c r="O3" s="6">
        <v>28.1</v>
      </c>
      <c r="P3" s="6">
        <v>28.1</v>
      </c>
      <c r="Q3" s="6">
        <v>28.1</v>
      </c>
      <c r="R3" s="6">
        <v>28.1</v>
      </c>
      <c r="S3" s="6">
        <f t="shared" ref="S3:S4" si="0">H3</f>
        <v>0</v>
      </c>
    </row>
    <row r="4" spans="1:19" x14ac:dyDescent="0.25">
      <c r="A4" s="112"/>
      <c r="B4" s="81" t="s">
        <v>252</v>
      </c>
      <c r="C4" s="81" t="s">
        <v>265</v>
      </c>
      <c r="D4" s="113">
        <v>27</v>
      </c>
      <c r="E4" s="113">
        <v>0</v>
      </c>
      <c r="F4" s="113">
        <f t="shared" ref="F4:G12" si="1">D4+1</f>
        <v>28</v>
      </c>
      <c r="G4" s="113"/>
      <c r="J4" s="5" t="s">
        <v>28</v>
      </c>
      <c r="K4" s="7">
        <v>30</v>
      </c>
      <c r="L4" s="7">
        <v>28.4</v>
      </c>
      <c r="M4" s="7">
        <v>27.75</v>
      </c>
      <c r="N4" s="4" t="s">
        <v>23</v>
      </c>
      <c r="O4" s="6">
        <v>28.1</v>
      </c>
      <c r="P4" s="6">
        <v>28.1</v>
      </c>
      <c r="Q4" s="6">
        <v>28.1</v>
      </c>
      <c r="R4" s="6">
        <v>28.1</v>
      </c>
      <c r="S4" s="6">
        <f t="shared" si="0"/>
        <v>0</v>
      </c>
    </row>
    <row r="5" spans="1:19" x14ac:dyDescent="0.25">
      <c r="A5" s="112"/>
      <c r="B5" s="81" t="s">
        <v>253</v>
      </c>
      <c r="C5" s="81" t="s">
        <v>266</v>
      </c>
      <c r="D5" s="113">
        <v>27</v>
      </c>
      <c r="E5" s="113">
        <v>0</v>
      </c>
      <c r="F5" s="113">
        <f t="shared" si="1"/>
        <v>28</v>
      </c>
      <c r="G5" s="113"/>
    </row>
    <row r="6" spans="1:19" x14ac:dyDescent="0.25">
      <c r="A6" s="112"/>
      <c r="B6" s="81" t="s">
        <v>254</v>
      </c>
      <c r="C6" s="81" t="s">
        <v>267</v>
      </c>
      <c r="D6" s="113">
        <v>26.5</v>
      </c>
      <c r="E6" s="113">
        <v>0</v>
      </c>
      <c r="F6" s="113">
        <f t="shared" si="1"/>
        <v>27.5</v>
      </c>
      <c r="G6" s="113"/>
    </row>
    <row r="7" spans="1:19" x14ac:dyDescent="0.25">
      <c r="A7" s="112"/>
      <c r="B7" s="81" t="s">
        <v>255</v>
      </c>
      <c r="C7" s="81" t="s">
        <v>268</v>
      </c>
      <c r="D7" s="113">
        <v>0</v>
      </c>
      <c r="E7" s="113">
        <v>27</v>
      </c>
      <c r="F7" s="113">
        <v>0</v>
      </c>
      <c r="G7" s="113">
        <f t="shared" si="1"/>
        <v>28</v>
      </c>
    </row>
    <row r="8" spans="1:19" x14ac:dyDescent="0.25">
      <c r="A8" s="112"/>
      <c r="B8" s="81" t="s">
        <v>256</v>
      </c>
      <c r="C8" s="81" t="s">
        <v>256</v>
      </c>
      <c r="D8" s="113">
        <v>26.75</v>
      </c>
      <c r="E8" s="113">
        <v>0</v>
      </c>
      <c r="F8" s="113">
        <f t="shared" si="1"/>
        <v>27.75</v>
      </c>
      <c r="G8" s="113">
        <v>0</v>
      </c>
    </row>
    <row r="9" spans="1:19" x14ac:dyDescent="0.25">
      <c r="A9" s="112"/>
      <c r="B9" s="81" t="s">
        <v>257</v>
      </c>
      <c r="C9" s="81" t="s">
        <v>257</v>
      </c>
      <c r="D9" s="113">
        <v>26.75</v>
      </c>
      <c r="E9" s="113">
        <v>26.75</v>
      </c>
      <c r="F9" s="113">
        <f t="shared" si="1"/>
        <v>27.75</v>
      </c>
      <c r="G9" s="113">
        <f t="shared" si="1"/>
        <v>27.75</v>
      </c>
    </row>
    <row r="10" spans="1:19" x14ac:dyDescent="0.25">
      <c r="A10" s="112"/>
      <c r="B10" s="81" t="s">
        <v>259</v>
      </c>
      <c r="C10" s="81" t="s">
        <v>269</v>
      </c>
      <c r="D10" s="113">
        <v>27</v>
      </c>
      <c r="E10" s="113">
        <v>0</v>
      </c>
      <c r="F10" s="113">
        <f t="shared" si="1"/>
        <v>28</v>
      </c>
      <c r="G10" s="113"/>
    </row>
    <row r="11" spans="1:19" x14ac:dyDescent="0.25">
      <c r="A11" s="112"/>
      <c r="B11" s="81" t="s">
        <v>260</v>
      </c>
      <c r="C11" s="81" t="s">
        <v>260</v>
      </c>
      <c r="D11" s="113">
        <v>27</v>
      </c>
      <c r="E11" s="113"/>
      <c r="F11" s="113">
        <f t="shared" si="1"/>
        <v>28</v>
      </c>
      <c r="G11" s="113"/>
    </row>
    <row r="12" spans="1:19" x14ac:dyDescent="0.25">
      <c r="A12" s="112"/>
      <c r="B12" s="81" t="s">
        <v>258</v>
      </c>
      <c r="C12" s="81" t="s">
        <v>258</v>
      </c>
      <c r="D12" s="113">
        <v>27</v>
      </c>
      <c r="E12" s="113">
        <v>27</v>
      </c>
      <c r="F12" s="113">
        <f t="shared" si="1"/>
        <v>28</v>
      </c>
      <c r="G12" s="113">
        <f t="shared" si="1"/>
        <v>28</v>
      </c>
    </row>
    <row r="13" spans="1:19" x14ac:dyDescent="0.25">
      <c r="A13" s="112"/>
      <c r="B13" s="81" t="s">
        <v>270</v>
      </c>
      <c r="C13" s="81" t="s">
        <v>271</v>
      </c>
      <c r="D13" s="113">
        <v>0</v>
      </c>
      <c r="E13" s="113">
        <v>0</v>
      </c>
      <c r="F13" s="113">
        <v>28</v>
      </c>
      <c r="G13" s="113"/>
    </row>
    <row r="14" spans="1:19" x14ac:dyDescent="0.25">
      <c r="A14" s="112"/>
      <c r="B14" s="81" t="s">
        <v>282</v>
      </c>
      <c r="C14" s="81" t="s">
        <v>282</v>
      </c>
      <c r="D14" s="113"/>
      <c r="E14" s="113"/>
      <c r="F14" s="113">
        <v>28</v>
      </c>
      <c r="G14" s="113">
        <v>28</v>
      </c>
    </row>
  </sheetData>
  <mergeCells count="2">
    <mergeCell ref="D1:E1"/>
    <mergeCell ref="F1:G1"/>
  </mergeCells>
  <pageMargins left="0.7" right="0.7" top="0.75" bottom="0.75" header="0.3" footer="0.3"/>
  <pageSetup paperSize="9" scale="6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35"/>
  <sheetViews>
    <sheetView workbookViewId="0">
      <selection activeCell="D3" sqref="D3:F3"/>
    </sheetView>
  </sheetViews>
  <sheetFormatPr defaultRowHeight="15" x14ac:dyDescent="0.25"/>
  <cols>
    <col min="1" max="1" width="5.7109375" bestFit="1" customWidth="1"/>
    <col min="2" max="2" width="31.85546875" bestFit="1" customWidth="1"/>
    <col min="3" max="3" width="4.42578125" bestFit="1" customWidth="1"/>
    <col min="4" max="6" width="7.5703125" bestFit="1" customWidth="1"/>
    <col min="7" max="7" width="9.28515625" bestFit="1" customWidth="1"/>
    <col min="8" max="8" width="6.140625" bestFit="1" customWidth="1"/>
    <col min="9" max="11" width="9" bestFit="1" customWidth="1"/>
    <col min="12" max="12" width="8.42578125" hidden="1" customWidth="1"/>
    <col min="13" max="16" width="7.42578125" bestFit="1" customWidth="1"/>
    <col min="17" max="17" width="9" bestFit="1" customWidth="1"/>
    <col min="18" max="20" width="7.42578125" bestFit="1" customWidth="1"/>
    <col min="21" max="21" width="4.5703125" customWidth="1"/>
    <col min="22" max="24" width="7.42578125" customWidth="1"/>
    <col min="25" max="25" width="4.5703125" hidden="1" customWidth="1"/>
    <col min="26" max="26" width="9" hidden="1" customWidth="1"/>
    <col min="27" max="27" width="6.5703125" hidden="1" customWidth="1"/>
    <col min="28" max="28" width="7.42578125" hidden="1" customWidth="1"/>
    <col min="29" max="29" width="6.28515625" hidden="1" customWidth="1"/>
    <col min="30" max="32" width="7.42578125" hidden="1" customWidth="1"/>
    <col min="33" max="33" width="4.5703125" hidden="1" customWidth="1"/>
    <col min="34" max="34" width="9" hidden="1" customWidth="1"/>
    <col min="35" max="35" width="6.5703125" hidden="1" customWidth="1"/>
    <col min="36" max="36" width="7.42578125" hidden="1" customWidth="1"/>
    <col min="37" max="37" width="4.5703125" hidden="1" customWidth="1"/>
    <col min="38" max="38" width="6.42578125" hidden="1" customWidth="1"/>
    <col min="39" max="40" width="6.5703125" hidden="1" customWidth="1"/>
    <col min="41" max="41" width="4.5703125" hidden="1" customWidth="1"/>
    <col min="42" max="42" width="9" hidden="1" customWidth="1"/>
    <col min="43" max="43" width="6.5703125" hidden="1" customWidth="1"/>
    <col min="44" max="44" width="7.42578125" hidden="1" customWidth="1"/>
    <col min="45" max="45" width="6.28515625" hidden="1" customWidth="1"/>
    <col min="46" max="48" width="7.42578125" hidden="1" customWidth="1"/>
    <col min="49" max="49" width="7.140625" hidden="1" customWidth="1"/>
    <col min="50" max="52" width="7.42578125" hidden="1" customWidth="1"/>
    <col min="53" max="53" width="7.140625" hidden="1" customWidth="1"/>
    <col min="54" max="56" width="7.42578125" hidden="1" customWidth="1"/>
    <col min="57" max="57" width="5.85546875" hidden="1" customWidth="1"/>
    <col min="58" max="60" width="7.42578125" hidden="1" customWidth="1"/>
    <col min="61" max="61" width="5.85546875" hidden="1" customWidth="1"/>
    <col min="62" max="64" width="7.42578125" hidden="1" customWidth="1"/>
  </cols>
  <sheetData>
    <row r="1" spans="1:64" x14ac:dyDescent="0.25">
      <c r="A1" s="39"/>
      <c r="B1" s="39"/>
      <c r="C1" s="39"/>
      <c r="D1" s="152" t="s">
        <v>101</v>
      </c>
      <c r="E1" s="152"/>
      <c r="F1" s="152"/>
      <c r="G1" s="40"/>
      <c r="H1" s="152" t="s">
        <v>86</v>
      </c>
      <c r="I1" s="152"/>
      <c r="J1" s="152"/>
      <c r="K1" s="152"/>
      <c r="L1" s="40"/>
      <c r="M1" s="152" t="s">
        <v>87</v>
      </c>
      <c r="N1" s="152"/>
      <c r="O1" s="152"/>
      <c r="P1" s="152"/>
      <c r="Q1" s="152" t="s">
        <v>88</v>
      </c>
      <c r="R1" s="152"/>
      <c r="S1" s="152"/>
      <c r="T1" s="152"/>
      <c r="U1" s="152" t="s">
        <v>89</v>
      </c>
      <c r="V1" s="152"/>
      <c r="W1" s="152"/>
      <c r="X1" s="152"/>
      <c r="Y1" s="152" t="s">
        <v>102</v>
      </c>
      <c r="Z1" s="152"/>
      <c r="AA1" s="152"/>
      <c r="AB1" s="152"/>
      <c r="AC1" s="152" t="s">
        <v>103</v>
      </c>
      <c r="AD1" s="152"/>
      <c r="AE1" s="152"/>
      <c r="AF1" s="152"/>
      <c r="AG1" s="152" t="s">
        <v>104</v>
      </c>
      <c r="AH1" s="152"/>
      <c r="AI1" s="152"/>
      <c r="AJ1" s="152"/>
      <c r="AK1" s="152" t="s">
        <v>105</v>
      </c>
      <c r="AL1" s="152"/>
      <c r="AM1" s="152"/>
      <c r="AN1" s="152"/>
      <c r="AO1" s="152" t="s">
        <v>106</v>
      </c>
      <c r="AP1" s="152"/>
      <c r="AQ1" s="152"/>
      <c r="AR1" s="152"/>
      <c r="AS1" s="152" t="s">
        <v>107</v>
      </c>
      <c r="AT1" s="152"/>
      <c r="AU1" s="152"/>
      <c r="AV1" s="152"/>
      <c r="AW1" s="152" t="s">
        <v>108</v>
      </c>
      <c r="AX1" s="152"/>
      <c r="AY1" s="152"/>
      <c r="AZ1" s="152"/>
      <c r="BA1" s="152" t="s">
        <v>109</v>
      </c>
      <c r="BB1" s="152"/>
      <c r="BC1" s="152"/>
      <c r="BD1" s="152"/>
      <c r="BE1" s="152" t="s">
        <v>110</v>
      </c>
      <c r="BF1" s="152"/>
      <c r="BG1" s="152"/>
      <c r="BH1" s="152"/>
      <c r="BI1" s="152" t="s">
        <v>111</v>
      </c>
      <c r="BJ1" s="152"/>
      <c r="BK1" s="152"/>
      <c r="BL1" s="152"/>
    </row>
    <row r="2" spans="1:64" s="44" customFormat="1" ht="30" x14ac:dyDescent="0.25">
      <c r="A2" s="41" t="s">
        <v>112</v>
      </c>
      <c r="B2" s="42" t="s">
        <v>113</v>
      </c>
      <c r="C2" s="41" t="s">
        <v>6</v>
      </c>
      <c r="D2" s="41" t="s">
        <v>7</v>
      </c>
      <c r="E2" s="41" t="s">
        <v>114</v>
      </c>
      <c r="F2" s="41" t="s">
        <v>115</v>
      </c>
      <c r="G2" s="41" t="s">
        <v>116</v>
      </c>
      <c r="H2" s="42" t="s">
        <v>113</v>
      </c>
      <c r="I2" s="41" t="s">
        <v>7</v>
      </c>
      <c r="J2" s="41" t="s">
        <v>114</v>
      </c>
      <c r="K2" s="41" t="s">
        <v>115</v>
      </c>
      <c r="L2" s="43" t="s">
        <v>117</v>
      </c>
      <c r="M2" s="42" t="s">
        <v>113</v>
      </c>
      <c r="N2" s="41" t="s">
        <v>7</v>
      </c>
      <c r="O2" s="41" t="s">
        <v>114</v>
      </c>
      <c r="P2" s="41" t="s">
        <v>115</v>
      </c>
      <c r="Q2" s="42" t="s">
        <v>113</v>
      </c>
      <c r="R2" s="41" t="s">
        <v>7</v>
      </c>
      <c r="S2" s="41" t="s">
        <v>114</v>
      </c>
      <c r="T2" s="41" t="s">
        <v>115</v>
      </c>
      <c r="U2" s="42" t="s">
        <v>113</v>
      </c>
      <c r="V2" s="41" t="s">
        <v>7</v>
      </c>
      <c r="W2" s="41" t="s">
        <v>114</v>
      </c>
      <c r="X2" s="41" t="s">
        <v>115</v>
      </c>
      <c r="Y2" s="42" t="s">
        <v>113</v>
      </c>
      <c r="Z2" s="41" t="s">
        <v>7</v>
      </c>
      <c r="AA2" s="41" t="s">
        <v>114</v>
      </c>
      <c r="AB2" s="41" t="s">
        <v>115</v>
      </c>
      <c r="AC2" s="42" t="s">
        <v>113</v>
      </c>
      <c r="AD2" s="41" t="s">
        <v>7</v>
      </c>
      <c r="AE2" s="41" t="s">
        <v>114</v>
      </c>
      <c r="AF2" s="41" t="s">
        <v>115</v>
      </c>
      <c r="AG2" s="42" t="s">
        <v>113</v>
      </c>
      <c r="AH2" s="41" t="s">
        <v>7</v>
      </c>
      <c r="AI2" s="41" t="s">
        <v>114</v>
      </c>
      <c r="AJ2" s="41" t="s">
        <v>115</v>
      </c>
      <c r="AK2" s="42" t="s">
        <v>113</v>
      </c>
      <c r="AL2" s="41" t="s">
        <v>7</v>
      </c>
      <c r="AM2" s="41" t="s">
        <v>114</v>
      </c>
      <c r="AN2" s="41" t="s">
        <v>115</v>
      </c>
      <c r="AO2" s="42" t="s">
        <v>113</v>
      </c>
      <c r="AP2" s="41" t="s">
        <v>7</v>
      </c>
      <c r="AQ2" s="41" t="s">
        <v>114</v>
      </c>
      <c r="AR2" s="41" t="s">
        <v>115</v>
      </c>
      <c r="AS2" s="42" t="s">
        <v>113</v>
      </c>
      <c r="AT2" s="41" t="s">
        <v>7</v>
      </c>
      <c r="AU2" s="41" t="s">
        <v>114</v>
      </c>
      <c r="AV2" s="41" t="s">
        <v>115</v>
      </c>
      <c r="AW2" s="42" t="s">
        <v>113</v>
      </c>
      <c r="AX2" s="41" t="s">
        <v>7</v>
      </c>
      <c r="AY2" s="41" t="s">
        <v>114</v>
      </c>
      <c r="AZ2" s="41" t="s">
        <v>115</v>
      </c>
      <c r="BA2" s="42" t="s">
        <v>113</v>
      </c>
      <c r="BB2" s="41" t="s">
        <v>7</v>
      </c>
      <c r="BC2" s="41" t="s">
        <v>114</v>
      </c>
      <c r="BD2" s="41" t="s">
        <v>115</v>
      </c>
      <c r="BE2" s="42" t="s">
        <v>113</v>
      </c>
      <c r="BF2" s="41" t="s">
        <v>7</v>
      </c>
      <c r="BG2" s="41" t="s">
        <v>114</v>
      </c>
      <c r="BH2" s="41" t="s">
        <v>115</v>
      </c>
      <c r="BI2" s="42" t="s">
        <v>113</v>
      </c>
      <c r="BJ2" s="41" t="s">
        <v>7</v>
      </c>
      <c r="BK2" s="41" t="s">
        <v>114</v>
      </c>
      <c r="BL2" s="41" t="s">
        <v>115</v>
      </c>
    </row>
    <row r="3" spans="1:64" ht="24.95" customHeight="1" x14ac:dyDescent="0.25">
      <c r="A3" s="35">
        <v>1</v>
      </c>
      <c r="B3" s="5" t="s">
        <v>25</v>
      </c>
      <c r="C3" s="4">
        <v>24</v>
      </c>
      <c r="D3" s="6">
        <v>28</v>
      </c>
      <c r="E3" s="6">
        <v>26.45</v>
      </c>
      <c r="F3" s="6">
        <v>25.83</v>
      </c>
      <c r="G3" s="6">
        <v>25.83</v>
      </c>
      <c r="H3" s="45" t="s">
        <v>118</v>
      </c>
      <c r="I3" s="45">
        <v>28</v>
      </c>
      <c r="J3" s="45">
        <v>26.5</v>
      </c>
      <c r="K3" s="45">
        <v>25.83</v>
      </c>
      <c r="L3" s="45">
        <f>G3-K3</f>
        <v>0</v>
      </c>
      <c r="M3" s="46" t="s">
        <v>119</v>
      </c>
      <c r="N3" s="46">
        <v>28</v>
      </c>
      <c r="O3" s="46">
        <v>26.96</v>
      </c>
      <c r="P3" s="46">
        <v>26.42</v>
      </c>
      <c r="Q3" s="47" t="s">
        <v>120</v>
      </c>
      <c r="R3" s="47">
        <v>27</v>
      </c>
      <c r="S3" s="47">
        <v>26.3</v>
      </c>
      <c r="T3" s="47">
        <v>25.69</v>
      </c>
      <c r="U3" s="48">
        <v>0</v>
      </c>
      <c r="V3" s="48">
        <v>27</v>
      </c>
      <c r="W3" s="48">
        <v>24.5</v>
      </c>
      <c r="X3" s="48">
        <v>23.5</v>
      </c>
      <c r="Y3" s="46">
        <v>0</v>
      </c>
      <c r="Z3" s="46">
        <v>0</v>
      </c>
      <c r="AA3" s="46">
        <v>0</v>
      </c>
      <c r="AB3" s="46">
        <v>0</v>
      </c>
      <c r="AC3" s="49">
        <v>0</v>
      </c>
      <c r="AD3" s="49">
        <v>27</v>
      </c>
      <c r="AE3" s="49">
        <v>25.5</v>
      </c>
      <c r="AF3" s="49">
        <v>24.9</v>
      </c>
      <c r="AG3" s="47">
        <v>0</v>
      </c>
      <c r="AH3" s="47">
        <v>27</v>
      </c>
      <c r="AI3" s="47">
        <v>0</v>
      </c>
      <c r="AJ3" s="47">
        <v>23.6</v>
      </c>
      <c r="AK3" s="48">
        <v>0</v>
      </c>
      <c r="AL3" s="48">
        <v>27</v>
      </c>
      <c r="AM3" s="48">
        <v>0</v>
      </c>
      <c r="AN3" s="48">
        <v>23</v>
      </c>
      <c r="AO3" s="49">
        <v>0</v>
      </c>
      <c r="AP3" s="49">
        <v>0</v>
      </c>
      <c r="AQ3" s="49">
        <v>0</v>
      </c>
      <c r="AR3" s="49">
        <v>0</v>
      </c>
      <c r="AS3" s="46">
        <v>0</v>
      </c>
      <c r="AT3" s="46">
        <v>27</v>
      </c>
      <c r="AU3" s="46">
        <v>26</v>
      </c>
      <c r="AV3" s="46">
        <v>25.5</v>
      </c>
      <c r="AW3" s="50" t="s">
        <v>121</v>
      </c>
      <c r="AX3" s="51">
        <v>29</v>
      </c>
      <c r="AY3" s="51">
        <v>27.65</v>
      </c>
      <c r="AZ3" s="51">
        <v>26.95</v>
      </c>
      <c r="BA3" s="52" t="s">
        <v>122</v>
      </c>
      <c r="BB3" s="53">
        <f>46</f>
        <v>46</v>
      </c>
      <c r="BC3" s="53">
        <f>44.35</f>
        <v>44.35</v>
      </c>
      <c r="BD3" s="53">
        <v>0</v>
      </c>
      <c r="BE3" s="54">
        <v>0</v>
      </c>
      <c r="BF3" s="55">
        <v>0</v>
      </c>
      <c r="BG3" s="55">
        <v>0</v>
      </c>
      <c r="BH3" s="55">
        <v>0</v>
      </c>
      <c r="BI3" s="56">
        <v>0</v>
      </c>
      <c r="BJ3" s="57">
        <v>0</v>
      </c>
      <c r="BK3" s="57">
        <v>0</v>
      </c>
      <c r="BL3" s="57">
        <v>0</v>
      </c>
    </row>
    <row r="4" spans="1:64" ht="24.95" customHeight="1" x14ac:dyDescent="0.25">
      <c r="A4" s="35">
        <f>A3+1</f>
        <v>2</v>
      </c>
      <c r="B4" s="5" t="s">
        <v>28</v>
      </c>
      <c r="C4" s="4">
        <v>24</v>
      </c>
      <c r="D4" s="6">
        <v>29</v>
      </c>
      <c r="E4" s="6">
        <v>27.4</v>
      </c>
      <c r="F4" s="6">
        <v>26.75</v>
      </c>
      <c r="G4" s="6">
        <v>25.708333333333332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6">
        <v>0</v>
      </c>
      <c r="N4" s="46">
        <v>28</v>
      </c>
      <c r="O4" s="46">
        <v>26.75</v>
      </c>
      <c r="P4" s="46">
        <v>26.18</v>
      </c>
      <c r="Q4" s="47" t="s">
        <v>123</v>
      </c>
      <c r="R4" s="47">
        <v>28</v>
      </c>
      <c r="S4" s="47">
        <v>26.65</v>
      </c>
      <c r="T4" s="47">
        <v>26.12</v>
      </c>
      <c r="U4" s="48">
        <v>0</v>
      </c>
      <c r="V4" s="48">
        <v>28</v>
      </c>
      <c r="W4" s="48">
        <v>27</v>
      </c>
      <c r="X4" s="48">
        <v>26.33</v>
      </c>
      <c r="Y4" s="46">
        <v>0</v>
      </c>
      <c r="Z4" s="46">
        <v>0</v>
      </c>
      <c r="AA4" s="46">
        <v>0</v>
      </c>
      <c r="AB4" s="46">
        <v>0</v>
      </c>
      <c r="AC4" s="49">
        <v>0</v>
      </c>
      <c r="AD4" s="49">
        <v>0</v>
      </c>
      <c r="AE4" s="49">
        <v>0</v>
      </c>
      <c r="AF4" s="49">
        <v>0</v>
      </c>
      <c r="AG4" s="47">
        <v>0</v>
      </c>
      <c r="AH4" s="47">
        <v>0</v>
      </c>
      <c r="AI4" s="47">
        <v>0</v>
      </c>
      <c r="AJ4" s="47">
        <v>0</v>
      </c>
      <c r="AK4" s="48">
        <v>0</v>
      </c>
      <c r="AL4" s="48">
        <v>0</v>
      </c>
      <c r="AM4" s="48">
        <v>0</v>
      </c>
      <c r="AN4" s="48">
        <v>0</v>
      </c>
      <c r="AO4" s="49">
        <v>0</v>
      </c>
      <c r="AP4" s="49">
        <v>0</v>
      </c>
      <c r="AQ4" s="49">
        <v>0</v>
      </c>
      <c r="AR4" s="49">
        <v>0</v>
      </c>
      <c r="AS4" s="46">
        <v>0</v>
      </c>
      <c r="AT4" s="46">
        <v>0</v>
      </c>
      <c r="AU4" s="46">
        <v>0</v>
      </c>
      <c r="AV4" s="46">
        <v>0</v>
      </c>
      <c r="AW4" s="50">
        <v>0</v>
      </c>
      <c r="AX4" s="51">
        <v>0</v>
      </c>
      <c r="AY4" s="51">
        <v>0</v>
      </c>
      <c r="AZ4" s="51">
        <v>0</v>
      </c>
      <c r="BA4" s="52">
        <v>0</v>
      </c>
      <c r="BB4" s="53">
        <v>0</v>
      </c>
      <c r="BC4" s="53">
        <v>0</v>
      </c>
      <c r="BD4" s="53">
        <v>0</v>
      </c>
      <c r="BE4" s="54">
        <v>0</v>
      </c>
      <c r="BF4" s="55">
        <v>0</v>
      </c>
      <c r="BG4" s="55">
        <v>0</v>
      </c>
      <c r="BH4" s="55">
        <v>0</v>
      </c>
      <c r="BI4" s="56">
        <v>0</v>
      </c>
      <c r="BJ4" s="57">
        <v>0</v>
      </c>
      <c r="BK4" s="57">
        <v>0</v>
      </c>
      <c r="BL4" s="57">
        <v>0</v>
      </c>
    </row>
    <row r="5" spans="1:64" ht="24.95" hidden="1" customHeight="1" x14ac:dyDescent="0.25">
      <c r="A5" s="35">
        <f t="shared" ref="A5:A35" si="0">A4+1</f>
        <v>3</v>
      </c>
      <c r="B5" s="58" t="s">
        <v>124</v>
      </c>
      <c r="C5" s="4">
        <v>12</v>
      </c>
      <c r="D5" s="6" t="s">
        <v>23</v>
      </c>
      <c r="E5" s="6" t="s">
        <v>23</v>
      </c>
      <c r="F5" s="6" t="s">
        <v>23</v>
      </c>
      <c r="G5" s="6" t="s">
        <v>23</v>
      </c>
      <c r="H5" s="45" t="s">
        <v>125</v>
      </c>
      <c r="I5" s="45">
        <v>10</v>
      </c>
      <c r="J5" s="45">
        <v>9</v>
      </c>
      <c r="K5" s="45">
        <v>8.5</v>
      </c>
      <c r="L5" s="45">
        <v>0</v>
      </c>
      <c r="M5" s="46">
        <v>0</v>
      </c>
      <c r="N5" s="46">
        <v>0</v>
      </c>
      <c r="O5" s="46">
        <v>0</v>
      </c>
      <c r="P5" s="46">
        <v>0</v>
      </c>
      <c r="Q5" s="47">
        <v>0</v>
      </c>
      <c r="R5" s="47">
        <v>0</v>
      </c>
      <c r="S5" s="47">
        <v>0</v>
      </c>
      <c r="T5" s="47">
        <v>0</v>
      </c>
      <c r="U5" s="48">
        <v>0</v>
      </c>
      <c r="V5" s="48">
        <v>10</v>
      </c>
      <c r="W5" s="48">
        <v>9</v>
      </c>
      <c r="X5" s="48">
        <v>8.6999999999999993</v>
      </c>
      <c r="Y5" s="46">
        <v>0</v>
      </c>
      <c r="Z5" s="46">
        <v>0</v>
      </c>
      <c r="AA5" s="46">
        <v>0</v>
      </c>
      <c r="AB5" s="46">
        <v>0</v>
      </c>
      <c r="AC5" s="49">
        <v>0</v>
      </c>
      <c r="AD5" s="49">
        <v>13</v>
      </c>
      <c r="AE5" s="49">
        <v>10.92</v>
      </c>
      <c r="AF5" s="49">
        <v>10.79</v>
      </c>
      <c r="AG5" s="47">
        <v>0</v>
      </c>
      <c r="AH5" s="47">
        <v>0</v>
      </c>
      <c r="AI5" s="47">
        <v>0</v>
      </c>
      <c r="AJ5" s="47">
        <v>0</v>
      </c>
      <c r="AK5" s="48">
        <v>0</v>
      </c>
      <c r="AL5" s="48">
        <v>0</v>
      </c>
      <c r="AM5" s="48">
        <v>0</v>
      </c>
      <c r="AN5" s="48">
        <v>0</v>
      </c>
      <c r="AO5" s="49">
        <v>0</v>
      </c>
      <c r="AP5" s="49">
        <v>0</v>
      </c>
      <c r="AQ5" s="49">
        <v>0</v>
      </c>
      <c r="AR5" s="49">
        <v>0</v>
      </c>
      <c r="AS5" s="46">
        <v>0</v>
      </c>
      <c r="AT5" s="46">
        <v>0</v>
      </c>
      <c r="AU5" s="46">
        <v>0</v>
      </c>
      <c r="AV5" s="46">
        <v>0</v>
      </c>
      <c r="AW5" s="50">
        <v>0</v>
      </c>
      <c r="AX5" s="51">
        <v>0</v>
      </c>
      <c r="AY5" s="51">
        <v>0</v>
      </c>
      <c r="AZ5" s="51">
        <v>0</v>
      </c>
      <c r="BA5" s="52" t="s">
        <v>126</v>
      </c>
      <c r="BB5" s="53">
        <v>18</v>
      </c>
      <c r="BC5" s="53">
        <v>15.16</v>
      </c>
      <c r="BD5" s="53">
        <v>13.45</v>
      </c>
      <c r="BE5" s="54">
        <v>0</v>
      </c>
      <c r="BF5" s="55">
        <v>0</v>
      </c>
      <c r="BG5" s="55">
        <v>0</v>
      </c>
      <c r="BH5" s="55">
        <v>0</v>
      </c>
      <c r="BI5" s="56" t="s">
        <v>127</v>
      </c>
      <c r="BJ5" s="57">
        <v>12</v>
      </c>
      <c r="BK5" s="57">
        <v>10.5</v>
      </c>
      <c r="BL5" s="57">
        <v>10</v>
      </c>
    </row>
    <row r="6" spans="1:64" ht="24.95" customHeight="1" x14ac:dyDescent="0.25">
      <c r="A6" s="35">
        <v>3</v>
      </c>
      <c r="B6" s="5" t="s">
        <v>29</v>
      </c>
      <c r="C6" s="4">
        <v>12</v>
      </c>
      <c r="D6" s="6">
        <v>25</v>
      </c>
      <c r="E6" s="6">
        <v>21.924418604651162</v>
      </c>
      <c r="F6" s="6">
        <v>20.95</v>
      </c>
      <c r="G6" s="6">
        <v>20.95</v>
      </c>
      <c r="H6" s="45">
        <v>0</v>
      </c>
      <c r="I6" s="45">
        <v>25</v>
      </c>
      <c r="J6" s="45">
        <v>22.35</v>
      </c>
      <c r="K6" s="45">
        <v>21.05</v>
      </c>
      <c r="L6" s="45">
        <f t="shared" ref="L6:L35" si="1">G6-K6</f>
        <v>-0.10000000000000142</v>
      </c>
      <c r="M6" s="46">
        <v>0</v>
      </c>
      <c r="N6" s="46">
        <v>23</v>
      </c>
      <c r="O6" s="46">
        <v>20.59</v>
      </c>
      <c r="P6" s="46">
        <v>19.43</v>
      </c>
      <c r="Q6" s="47">
        <v>0</v>
      </c>
      <c r="R6" s="47">
        <v>30</v>
      </c>
      <c r="S6" s="47">
        <f>R6/1.2</f>
        <v>25</v>
      </c>
      <c r="T6" s="47">
        <f>S6/1.06</f>
        <v>23.584905660377359</v>
      </c>
      <c r="U6" s="48">
        <v>0</v>
      </c>
      <c r="V6" s="48">
        <v>0</v>
      </c>
      <c r="W6" s="48">
        <v>0</v>
      </c>
      <c r="X6" s="48">
        <v>0</v>
      </c>
      <c r="Y6" s="46">
        <v>0</v>
      </c>
      <c r="Z6" s="46">
        <v>0</v>
      </c>
      <c r="AA6" s="46">
        <v>0</v>
      </c>
      <c r="AB6" s="46">
        <v>0</v>
      </c>
      <c r="AC6" s="49">
        <v>0</v>
      </c>
      <c r="AD6" s="49">
        <v>0</v>
      </c>
      <c r="AE6" s="49">
        <v>0</v>
      </c>
      <c r="AF6" s="49">
        <v>0</v>
      </c>
      <c r="AG6" s="47">
        <v>0</v>
      </c>
      <c r="AH6" s="47">
        <v>0</v>
      </c>
      <c r="AI6" s="47">
        <v>0</v>
      </c>
      <c r="AJ6" s="47">
        <v>0</v>
      </c>
      <c r="AK6" s="48">
        <v>0</v>
      </c>
      <c r="AL6" s="48">
        <v>0</v>
      </c>
      <c r="AM6" s="48">
        <v>0</v>
      </c>
      <c r="AN6" s="48">
        <v>0</v>
      </c>
      <c r="AO6" s="49">
        <v>0</v>
      </c>
      <c r="AP6" s="49">
        <v>0</v>
      </c>
      <c r="AQ6" s="49">
        <v>0</v>
      </c>
      <c r="AR6" s="49">
        <v>0</v>
      </c>
      <c r="AS6" s="46">
        <v>0</v>
      </c>
      <c r="AT6" s="46">
        <v>0</v>
      </c>
      <c r="AU6" s="46">
        <v>0</v>
      </c>
      <c r="AV6" s="46">
        <v>0</v>
      </c>
      <c r="AW6" s="50">
        <v>0</v>
      </c>
      <c r="AX6" s="51">
        <v>0</v>
      </c>
      <c r="AY6" s="51">
        <v>0</v>
      </c>
      <c r="AZ6" s="51">
        <v>0</v>
      </c>
      <c r="BA6" s="52">
        <v>0</v>
      </c>
      <c r="BB6" s="53">
        <v>0</v>
      </c>
      <c r="BC6" s="53">
        <v>0</v>
      </c>
      <c r="BD6" s="53">
        <v>0</v>
      </c>
      <c r="BE6" s="54">
        <v>0</v>
      </c>
      <c r="BF6" s="55">
        <v>0</v>
      </c>
      <c r="BG6" s="55">
        <v>0</v>
      </c>
      <c r="BH6" s="55">
        <v>0</v>
      </c>
      <c r="BI6" s="56">
        <v>0</v>
      </c>
      <c r="BJ6" s="57">
        <v>0</v>
      </c>
      <c r="BK6" s="57">
        <v>0</v>
      </c>
      <c r="BL6" s="57">
        <v>0</v>
      </c>
    </row>
    <row r="7" spans="1:64" ht="24.95" customHeight="1" x14ac:dyDescent="0.25">
      <c r="A7" s="35">
        <f t="shared" si="0"/>
        <v>4</v>
      </c>
      <c r="B7" s="5" t="s">
        <v>31</v>
      </c>
      <c r="C7" s="4">
        <v>60</v>
      </c>
      <c r="D7" s="6">
        <v>18</v>
      </c>
      <c r="E7" s="6">
        <v>14.625</v>
      </c>
      <c r="F7" s="6">
        <v>13.95</v>
      </c>
      <c r="G7" s="6">
        <v>13.95</v>
      </c>
      <c r="H7" s="45">
        <v>0</v>
      </c>
      <c r="I7" s="45">
        <v>18</v>
      </c>
      <c r="J7" s="45">
        <v>16.41</v>
      </c>
      <c r="K7" s="45">
        <v>15.72</v>
      </c>
      <c r="L7" s="45">
        <f t="shared" si="1"/>
        <v>-1.7700000000000014</v>
      </c>
      <c r="M7" s="46">
        <v>0</v>
      </c>
      <c r="N7" s="46">
        <v>19</v>
      </c>
      <c r="O7" s="46">
        <v>17.29</v>
      </c>
      <c r="P7" s="46">
        <v>16.63</v>
      </c>
      <c r="Q7" s="47">
        <v>0</v>
      </c>
      <c r="R7" s="47">
        <v>18</v>
      </c>
      <c r="S7" s="47">
        <v>16.5</v>
      </c>
      <c r="T7" s="47">
        <v>16.013000000000002</v>
      </c>
      <c r="U7" s="48">
        <v>0</v>
      </c>
      <c r="V7" s="48">
        <v>0</v>
      </c>
      <c r="W7" s="48">
        <v>0</v>
      </c>
      <c r="X7" s="48">
        <v>0</v>
      </c>
      <c r="Y7" s="46">
        <v>0</v>
      </c>
      <c r="Z7" s="46">
        <v>18</v>
      </c>
      <c r="AA7" s="46">
        <v>0</v>
      </c>
      <c r="AB7" s="46">
        <v>14.5</v>
      </c>
      <c r="AC7" s="49">
        <v>0</v>
      </c>
      <c r="AD7" s="49">
        <v>18</v>
      </c>
      <c r="AE7" s="49">
        <v>14.71</v>
      </c>
      <c r="AF7" s="49">
        <v>14.28</v>
      </c>
      <c r="AG7" s="47">
        <v>0</v>
      </c>
      <c r="AH7" s="47">
        <v>0</v>
      </c>
      <c r="AI7" s="47">
        <v>0</v>
      </c>
      <c r="AJ7" s="47">
        <v>0</v>
      </c>
      <c r="AK7" s="48">
        <v>0</v>
      </c>
      <c r="AL7" s="48">
        <v>0</v>
      </c>
      <c r="AM7" s="48">
        <v>0</v>
      </c>
      <c r="AN7" s="48">
        <v>0</v>
      </c>
      <c r="AO7" s="49">
        <v>0</v>
      </c>
      <c r="AP7" s="49">
        <v>0</v>
      </c>
      <c r="AQ7" s="49">
        <v>0</v>
      </c>
      <c r="AR7" s="49">
        <v>0</v>
      </c>
      <c r="AS7" s="46">
        <v>0</v>
      </c>
      <c r="AT7" s="46">
        <v>17</v>
      </c>
      <c r="AU7" s="46">
        <v>16.190000000000001</v>
      </c>
      <c r="AV7" s="46">
        <v>15.74</v>
      </c>
      <c r="AW7" s="50" t="s">
        <v>128</v>
      </c>
      <c r="AX7" s="51">
        <v>25</v>
      </c>
      <c r="AY7" s="51">
        <v>22.19</v>
      </c>
      <c r="AZ7" s="51">
        <v>20.76</v>
      </c>
      <c r="BA7" s="52" t="s">
        <v>129</v>
      </c>
      <c r="BB7" s="53">
        <v>34</v>
      </c>
      <c r="BC7" s="53">
        <v>29.29</v>
      </c>
      <c r="BD7" s="53">
        <v>26.94</v>
      </c>
      <c r="BE7" s="54">
        <v>0</v>
      </c>
      <c r="BF7" s="55">
        <v>0</v>
      </c>
      <c r="BG7" s="55">
        <v>0</v>
      </c>
      <c r="BH7" s="55">
        <v>0</v>
      </c>
      <c r="BI7" s="56" t="s">
        <v>129</v>
      </c>
      <c r="BJ7" s="57">
        <v>30</v>
      </c>
      <c r="BK7" s="57">
        <v>26</v>
      </c>
      <c r="BL7" s="57">
        <v>24.5</v>
      </c>
    </row>
    <row r="8" spans="1:64" ht="24.95" customHeight="1" x14ac:dyDescent="0.25">
      <c r="A8" s="35">
        <f>A7+1</f>
        <v>5</v>
      </c>
      <c r="B8" s="5" t="s">
        <v>33</v>
      </c>
      <c r="C8" s="4">
        <v>30</v>
      </c>
      <c r="D8" s="6">
        <v>35</v>
      </c>
      <c r="E8" s="6">
        <v>28.072916666666664</v>
      </c>
      <c r="F8" s="6">
        <v>26.95</v>
      </c>
      <c r="G8" s="6">
        <v>26.95</v>
      </c>
      <c r="H8" s="45">
        <v>0</v>
      </c>
      <c r="I8" s="45">
        <v>34</v>
      </c>
      <c r="J8" s="45">
        <v>29.75</v>
      </c>
      <c r="K8" s="45">
        <v>28.48</v>
      </c>
      <c r="L8" s="45">
        <f t="shared" si="1"/>
        <v>-1.5300000000000011</v>
      </c>
      <c r="M8" s="46">
        <v>0</v>
      </c>
      <c r="N8" s="46">
        <v>35</v>
      </c>
      <c r="O8" s="46">
        <v>31.89</v>
      </c>
      <c r="P8" s="46">
        <v>30.66</v>
      </c>
      <c r="Q8" s="47">
        <v>0</v>
      </c>
      <c r="R8" s="47">
        <v>35</v>
      </c>
      <c r="S8" s="47">
        <v>32.5</v>
      </c>
      <c r="T8" s="47">
        <v>30.6</v>
      </c>
      <c r="U8" s="48">
        <v>0</v>
      </c>
      <c r="V8" s="48">
        <v>0</v>
      </c>
      <c r="W8" s="48">
        <v>0</v>
      </c>
      <c r="X8" s="48">
        <v>0</v>
      </c>
      <c r="Y8" s="46">
        <v>0</v>
      </c>
      <c r="Z8" s="46">
        <v>0</v>
      </c>
      <c r="AA8" s="46">
        <v>0</v>
      </c>
      <c r="AB8" s="46">
        <v>0</v>
      </c>
      <c r="AC8" s="49">
        <v>0</v>
      </c>
      <c r="AD8" s="49">
        <v>0</v>
      </c>
      <c r="AE8" s="49">
        <v>0</v>
      </c>
      <c r="AF8" s="49">
        <v>0</v>
      </c>
      <c r="AG8" s="47">
        <v>0</v>
      </c>
      <c r="AH8" s="47">
        <v>0</v>
      </c>
      <c r="AI8" s="47">
        <v>0</v>
      </c>
      <c r="AJ8" s="47">
        <v>0</v>
      </c>
      <c r="AK8" s="48">
        <v>0</v>
      </c>
      <c r="AL8" s="48">
        <v>0</v>
      </c>
      <c r="AM8" s="48">
        <v>0</v>
      </c>
      <c r="AN8" s="48">
        <v>0</v>
      </c>
      <c r="AO8" s="49">
        <v>0</v>
      </c>
      <c r="AP8" s="49">
        <v>0</v>
      </c>
      <c r="AQ8" s="49">
        <v>0</v>
      </c>
      <c r="AR8" s="49">
        <v>0</v>
      </c>
      <c r="AS8" s="46">
        <v>0</v>
      </c>
      <c r="AT8" s="46">
        <v>32</v>
      </c>
      <c r="AU8" s="46">
        <v>30.48</v>
      </c>
      <c r="AV8" s="46">
        <v>29.38</v>
      </c>
      <c r="AW8" s="50" t="s">
        <v>130</v>
      </c>
      <c r="AX8" s="51">
        <v>32</v>
      </c>
      <c r="AY8" s="51">
        <v>26.76</v>
      </c>
      <c r="AZ8" s="51">
        <v>25.47</v>
      </c>
      <c r="BA8" s="52" t="s">
        <v>130</v>
      </c>
      <c r="BB8" s="53">
        <v>55</v>
      </c>
      <c r="BC8" s="53">
        <v>46.2</v>
      </c>
      <c r="BD8" s="53">
        <v>42.74</v>
      </c>
      <c r="BE8" s="54">
        <v>0</v>
      </c>
      <c r="BF8" s="55">
        <v>0</v>
      </c>
      <c r="BG8" s="55">
        <v>0</v>
      </c>
      <c r="BH8" s="55">
        <v>0</v>
      </c>
      <c r="BI8" s="56" t="s">
        <v>130</v>
      </c>
      <c r="BJ8" s="57">
        <v>50</v>
      </c>
      <c r="BK8" s="57">
        <v>43</v>
      </c>
      <c r="BL8" s="57">
        <v>39</v>
      </c>
    </row>
    <row r="9" spans="1:64" ht="24.95" customHeight="1" x14ac:dyDescent="0.25">
      <c r="A9" s="35">
        <f t="shared" si="0"/>
        <v>6</v>
      </c>
      <c r="B9" s="5" t="s">
        <v>35</v>
      </c>
      <c r="C9" s="4">
        <v>12</v>
      </c>
      <c r="D9" s="6">
        <v>75</v>
      </c>
      <c r="E9" s="6">
        <v>66.93320610687023</v>
      </c>
      <c r="F9" s="6">
        <v>64.95</v>
      </c>
      <c r="G9" s="6">
        <v>64.95</v>
      </c>
      <c r="H9" s="45">
        <v>0</v>
      </c>
      <c r="I9" s="45">
        <v>75</v>
      </c>
      <c r="J9" s="45">
        <v>66.790000000000006</v>
      </c>
      <c r="K9" s="45">
        <v>65.25</v>
      </c>
      <c r="L9" s="45">
        <f t="shared" si="1"/>
        <v>-0.29999999999999716</v>
      </c>
      <c r="M9" s="46">
        <v>0</v>
      </c>
      <c r="N9" s="46">
        <v>75</v>
      </c>
      <c r="O9" s="46">
        <v>70.5</v>
      </c>
      <c r="P9" s="46">
        <v>69</v>
      </c>
      <c r="Q9" s="47">
        <v>0</v>
      </c>
      <c r="R9" s="47">
        <v>75</v>
      </c>
      <c r="S9" s="47">
        <v>71</v>
      </c>
      <c r="T9" s="47">
        <v>68.05</v>
      </c>
      <c r="U9" s="48">
        <v>0</v>
      </c>
      <c r="V9" s="48">
        <v>70</v>
      </c>
      <c r="W9" s="48">
        <v>68</v>
      </c>
      <c r="X9" s="48">
        <v>65</v>
      </c>
      <c r="Y9" s="46">
        <v>0</v>
      </c>
      <c r="Z9" s="46">
        <v>75</v>
      </c>
      <c r="AA9" s="46">
        <v>0</v>
      </c>
      <c r="AB9" s="46">
        <v>62.25</v>
      </c>
      <c r="AC9" s="49">
        <v>0</v>
      </c>
      <c r="AD9" s="49">
        <v>75</v>
      </c>
      <c r="AE9" s="49">
        <v>67.2</v>
      </c>
      <c r="AF9" s="49">
        <v>65.099999999999994</v>
      </c>
      <c r="AG9" s="47">
        <v>0</v>
      </c>
      <c r="AH9" s="47">
        <v>0</v>
      </c>
      <c r="AI9" s="47">
        <v>0</v>
      </c>
      <c r="AJ9" s="47">
        <v>0</v>
      </c>
      <c r="AK9" s="48">
        <v>0</v>
      </c>
      <c r="AL9" s="48">
        <v>0</v>
      </c>
      <c r="AM9" s="48">
        <v>0</v>
      </c>
      <c r="AN9" s="48">
        <v>0</v>
      </c>
      <c r="AO9" s="49">
        <v>0</v>
      </c>
      <c r="AP9" s="49">
        <v>0</v>
      </c>
      <c r="AQ9" s="49">
        <v>0</v>
      </c>
      <c r="AR9" s="49">
        <v>0</v>
      </c>
      <c r="AS9" s="46">
        <v>0</v>
      </c>
      <c r="AT9" s="46">
        <v>65</v>
      </c>
      <c r="AU9" s="46">
        <v>61.91</v>
      </c>
      <c r="AV9" s="46">
        <v>61.33</v>
      </c>
      <c r="AW9" s="50" t="s">
        <v>131</v>
      </c>
      <c r="AX9" s="51">
        <v>90</v>
      </c>
      <c r="AY9" s="51">
        <v>78.069999999999993</v>
      </c>
      <c r="AZ9" s="51">
        <v>72.56</v>
      </c>
      <c r="BA9" s="52">
        <v>0</v>
      </c>
      <c r="BB9" s="53">
        <v>0</v>
      </c>
      <c r="BC9" s="53">
        <v>0</v>
      </c>
      <c r="BD9" s="53">
        <v>0</v>
      </c>
      <c r="BE9" s="54">
        <v>0</v>
      </c>
      <c r="BF9" s="55">
        <v>0</v>
      </c>
      <c r="BG9" s="55">
        <v>0</v>
      </c>
      <c r="BH9" s="55">
        <v>0</v>
      </c>
      <c r="BI9" s="56">
        <v>0</v>
      </c>
      <c r="BJ9" s="57">
        <v>0</v>
      </c>
      <c r="BK9" s="57">
        <v>0</v>
      </c>
      <c r="BL9" s="57">
        <v>0</v>
      </c>
    </row>
    <row r="10" spans="1:64" ht="24.95" customHeight="1" x14ac:dyDescent="0.25">
      <c r="A10" s="4">
        <f t="shared" si="0"/>
        <v>7</v>
      </c>
      <c r="B10" s="5" t="s">
        <v>36</v>
      </c>
      <c r="C10" s="4">
        <v>2</v>
      </c>
      <c r="D10" s="6">
        <v>360</v>
      </c>
      <c r="E10" s="6">
        <v>330</v>
      </c>
      <c r="F10" s="6">
        <v>315</v>
      </c>
      <c r="G10" s="6">
        <v>300</v>
      </c>
      <c r="H10" s="45">
        <v>0</v>
      </c>
      <c r="I10" s="45">
        <v>355</v>
      </c>
      <c r="J10" s="45">
        <v>326.60000000000002</v>
      </c>
      <c r="K10" s="45">
        <v>320.92</v>
      </c>
      <c r="L10" s="45">
        <f t="shared" si="1"/>
        <v>-20.920000000000016</v>
      </c>
      <c r="M10" s="46">
        <v>0</v>
      </c>
      <c r="N10" s="46">
        <v>330</v>
      </c>
      <c r="O10" s="46">
        <v>286.7</v>
      </c>
      <c r="P10" s="46">
        <v>274.2</v>
      </c>
      <c r="Q10" s="47">
        <v>0</v>
      </c>
      <c r="R10" s="47">
        <v>350</v>
      </c>
      <c r="S10" s="47">
        <v>330</v>
      </c>
      <c r="T10" s="47">
        <v>322.5</v>
      </c>
      <c r="U10" s="48">
        <v>0</v>
      </c>
      <c r="V10" s="48">
        <v>385</v>
      </c>
      <c r="W10" s="48">
        <v>370</v>
      </c>
      <c r="X10" s="48">
        <v>352</v>
      </c>
      <c r="Y10" s="46">
        <v>0</v>
      </c>
      <c r="Z10" s="46">
        <v>350</v>
      </c>
      <c r="AA10" s="46">
        <v>0</v>
      </c>
      <c r="AB10" s="46">
        <v>295</v>
      </c>
      <c r="AC10" s="49">
        <v>0</v>
      </c>
      <c r="AD10" s="49">
        <v>0</v>
      </c>
      <c r="AE10" s="49">
        <v>0</v>
      </c>
      <c r="AF10" s="49">
        <v>0</v>
      </c>
      <c r="AG10" s="47">
        <v>0</v>
      </c>
      <c r="AH10" s="47">
        <v>0</v>
      </c>
      <c r="AI10" s="47">
        <v>0</v>
      </c>
      <c r="AJ10" s="47">
        <v>0</v>
      </c>
      <c r="AK10" s="48">
        <v>0</v>
      </c>
      <c r="AL10" s="48">
        <v>0</v>
      </c>
      <c r="AM10" s="48">
        <v>0</v>
      </c>
      <c r="AN10" s="48">
        <v>0</v>
      </c>
      <c r="AO10" s="49">
        <v>0</v>
      </c>
      <c r="AP10" s="49">
        <v>0</v>
      </c>
      <c r="AQ10" s="49">
        <v>0</v>
      </c>
      <c r="AR10" s="49">
        <v>0</v>
      </c>
      <c r="AS10" s="46">
        <v>0</v>
      </c>
      <c r="AT10" s="46">
        <v>320</v>
      </c>
      <c r="AU10" s="46">
        <v>304.74</v>
      </c>
      <c r="AV10" s="46">
        <v>299</v>
      </c>
      <c r="AW10" s="50">
        <v>0</v>
      </c>
      <c r="AX10" s="51">
        <v>0</v>
      </c>
      <c r="AY10" s="51">
        <v>0</v>
      </c>
      <c r="AZ10" s="51">
        <v>0</v>
      </c>
      <c r="BA10" s="52">
        <v>0</v>
      </c>
      <c r="BB10" s="53">
        <v>0</v>
      </c>
      <c r="BC10" s="53">
        <v>0</v>
      </c>
      <c r="BD10" s="53">
        <v>0</v>
      </c>
      <c r="BE10" s="54">
        <v>0</v>
      </c>
      <c r="BF10" s="55">
        <v>0</v>
      </c>
      <c r="BG10" s="55">
        <v>0</v>
      </c>
      <c r="BH10" s="55">
        <v>0</v>
      </c>
      <c r="BI10" s="56">
        <v>0</v>
      </c>
      <c r="BJ10" s="57">
        <v>0</v>
      </c>
      <c r="BK10" s="57">
        <v>0</v>
      </c>
      <c r="BL10" s="57">
        <v>0</v>
      </c>
    </row>
    <row r="11" spans="1:64" ht="24.95" customHeight="1" x14ac:dyDescent="0.25">
      <c r="A11" s="4">
        <f t="shared" si="0"/>
        <v>8</v>
      </c>
      <c r="B11" s="5" t="s">
        <v>38</v>
      </c>
      <c r="C11" s="4">
        <v>1</v>
      </c>
      <c r="D11" s="6">
        <v>400</v>
      </c>
      <c r="E11" s="6">
        <v>360</v>
      </c>
      <c r="F11" s="6">
        <v>345</v>
      </c>
      <c r="G11" s="6">
        <v>330</v>
      </c>
      <c r="H11" s="45">
        <v>0</v>
      </c>
      <c r="I11" s="45">
        <v>400</v>
      </c>
      <c r="J11" s="45">
        <v>350</v>
      </c>
      <c r="K11" s="45">
        <v>345</v>
      </c>
      <c r="L11" s="45">
        <f t="shared" si="1"/>
        <v>-15</v>
      </c>
      <c r="M11" s="46">
        <v>0</v>
      </c>
      <c r="N11" s="46">
        <v>0</v>
      </c>
      <c r="O11" s="46">
        <v>0</v>
      </c>
      <c r="P11" s="46">
        <v>0</v>
      </c>
      <c r="Q11" s="47">
        <v>0</v>
      </c>
      <c r="R11" s="47">
        <v>400</v>
      </c>
      <c r="S11" s="47">
        <v>375</v>
      </c>
      <c r="T11" s="47">
        <v>358</v>
      </c>
      <c r="U11" s="48">
        <v>0</v>
      </c>
      <c r="V11" s="48">
        <v>0</v>
      </c>
      <c r="W11" s="48">
        <v>0</v>
      </c>
      <c r="X11" s="48">
        <v>0</v>
      </c>
      <c r="Y11" s="46">
        <v>0</v>
      </c>
      <c r="Z11" s="46">
        <v>0</v>
      </c>
      <c r="AA11" s="46">
        <v>0</v>
      </c>
      <c r="AB11" s="46">
        <v>0</v>
      </c>
      <c r="AC11" s="49">
        <v>0</v>
      </c>
      <c r="AD11" s="49">
        <v>0</v>
      </c>
      <c r="AE11" s="49">
        <v>0</v>
      </c>
      <c r="AF11" s="49">
        <v>0</v>
      </c>
      <c r="AG11" s="47">
        <v>0</v>
      </c>
      <c r="AH11" s="47">
        <v>0</v>
      </c>
      <c r="AI11" s="47">
        <v>0</v>
      </c>
      <c r="AJ11" s="47">
        <v>0</v>
      </c>
      <c r="AK11" s="48">
        <v>0</v>
      </c>
      <c r="AL11" s="48">
        <v>0</v>
      </c>
      <c r="AM11" s="48">
        <v>0</v>
      </c>
      <c r="AN11" s="48">
        <v>0</v>
      </c>
      <c r="AO11" s="49">
        <v>0</v>
      </c>
      <c r="AP11" s="49">
        <v>0</v>
      </c>
      <c r="AQ11" s="49">
        <v>0</v>
      </c>
      <c r="AR11" s="49">
        <v>0</v>
      </c>
      <c r="AS11" s="46">
        <v>0</v>
      </c>
      <c r="AT11" s="46">
        <v>0</v>
      </c>
      <c r="AU11" s="46">
        <v>0</v>
      </c>
      <c r="AV11" s="46">
        <v>0</v>
      </c>
      <c r="AW11" s="50">
        <v>0</v>
      </c>
      <c r="AX11" s="51">
        <v>0</v>
      </c>
      <c r="AY11" s="51">
        <v>0</v>
      </c>
      <c r="AZ11" s="51">
        <v>0</v>
      </c>
      <c r="BA11" s="52">
        <v>0</v>
      </c>
      <c r="BB11" s="53">
        <v>0</v>
      </c>
      <c r="BC11" s="53">
        <v>0</v>
      </c>
      <c r="BD11" s="53">
        <v>0</v>
      </c>
      <c r="BE11" s="54">
        <v>0</v>
      </c>
      <c r="BF11" s="55">
        <v>0</v>
      </c>
      <c r="BG11" s="55">
        <v>0</v>
      </c>
      <c r="BH11" s="55">
        <v>0</v>
      </c>
      <c r="BI11" s="56">
        <v>0</v>
      </c>
      <c r="BJ11" s="57">
        <v>0</v>
      </c>
      <c r="BK11" s="57">
        <v>0</v>
      </c>
      <c r="BL11" s="57">
        <v>0</v>
      </c>
    </row>
    <row r="12" spans="1:64" ht="24.95" customHeight="1" x14ac:dyDescent="0.25">
      <c r="A12" s="4">
        <f t="shared" si="0"/>
        <v>9</v>
      </c>
      <c r="B12" s="5" t="s">
        <v>41</v>
      </c>
      <c r="C12" s="4">
        <v>1</v>
      </c>
      <c r="D12" s="6">
        <v>1145</v>
      </c>
      <c r="E12" s="6">
        <v>1040</v>
      </c>
      <c r="F12" s="6">
        <v>1000</v>
      </c>
      <c r="G12" s="6">
        <v>1000</v>
      </c>
      <c r="H12" s="45">
        <v>0</v>
      </c>
      <c r="I12" s="45">
        <v>1250</v>
      </c>
      <c r="J12" s="45">
        <v>1190</v>
      </c>
      <c r="K12" s="45">
        <v>1160</v>
      </c>
      <c r="L12" s="45">
        <f t="shared" si="1"/>
        <v>-160</v>
      </c>
      <c r="M12" s="46">
        <v>0</v>
      </c>
      <c r="N12" s="46">
        <v>0</v>
      </c>
      <c r="O12" s="46">
        <v>0</v>
      </c>
      <c r="P12" s="46">
        <v>0</v>
      </c>
      <c r="Q12" s="47">
        <v>0</v>
      </c>
      <c r="R12" s="47">
        <v>0</v>
      </c>
      <c r="S12" s="47">
        <v>0</v>
      </c>
      <c r="T12" s="47">
        <v>0</v>
      </c>
      <c r="U12" s="48">
        <v>0</v>
      </c>
      <c r="V12" s="48">
        <v>0</v>
      </c>
      <c r="W12" s="48">
        <v>0</v>
      </c>
      <c r="X12" s="48">
        <v>0</v>
      </c>
      <c r="Y12" s="46">
        <v>0</v>
      </c>
      <c r="Z12" s="46">
        <v>1150</v>
      </c>
      <c r="AA12" s="46">
        <v>0</v>
      </c>
      <c r="AB12" s="46">
        <v>955</v>
      </c>
      <c r="AC12" s="49">
        <v>0</v>
      </c>
      <c r="AD12" s="49">
        <v>0</v>
      </c>
      <c r="AE12" s="49">
        <v>0</v>
      </c>
      <c r="AF12" s="49">
        <v>0</v>
      </c>
      <c r="AG12" s="47">
        <v>0</v>
      </c>
      <c r="AH12" s="47">
        <v>1100</v>
      </c>
      <c r="AI12" s="47">
        <v>0</v>
      </c>
      <c r="AJ12" s="47">
        <v>890</v>
      </c>
      <c r="AK12" s="48">
        <v>0</v>
      </c>
      <c r="AL12" s="48">
        <v>0</v>
      </c>
      <c r="AM12" s="48">
        <v>0</v>
      </c>
      <c r="AN12" s="48">
        <v>0</v>
      </c>
      <c r="AO12" s="49">
        <v>0</v>
      </c>
      <c r="AP12" s="49">
        <v>1100</v>
      </c>
      <c r="AQ12" s="49">
        <v>0</v>
      </c>
      <c r="AR12" s="49">
        <v>850</v>
      </c>
      <c r="AS12" s="46">
        <v>0</v>
      </c>
      <c r="AT12" s="46">
        <v>0</v>
      </c>
      <c r="AU12" s="46">
        <v>0</v>
      </c>
      <c r="AV12" s="46">
        <v>0</v>
      </c>
      <c r="AW12" s="50">
        <v>0</v>
      </c>
      <c r="AX12" s="51">
        <v>0</v>
      </c>
      <c r="AY12" s="51">
        <v>0</v>
      </c>
      <c r="AZ12" s="51">
        <v>0</v>
      </c>
      <c r="BA12" s="52">
        <v>0</v>
      </c>
      <c r="BB12" s="53">
        <v>0</v>
      </c>
      <c r="BC12" s="53">
        <v>0</v>
      </c>
      <c r="BD12" s="53">
        <v>0</v>
      </c>
      <c r="BE12" s="54">
        <v>0</v>
      </c>
      <c r="BF12" s="55">
        <v>0</v>
      </c>
      <c r="BG12" s="55">
        <v>0</v>
      </c>
      <c r="BH12" s="55">
        <v>0</v>
      </c>
      <c r="BI12" s="56">
        <v>0</v>
      </c>
      <c r="BJ12" s="57">
        <v>0</v>
      </c>
      <c r="BK12" s="57">
        <v>0</v>
      </c>
      <c r="BL12" s="57">
        <v>0</v>
      </c>
    </row>
    <row r="13" spans="1:64" ht="24.95" customHeight="1" x14ac:dyDescent="0.25">
      <c r="A13" s="35">
        <f t="shared" si="0"/>
        <v>10</v>
      </c>
      <c r="B13" s="5" t="s">
        <v>42</v>
      </c>
      <c r="C13" s="4">
        <v>60</v>
      </c>
      <c r="D13" s="6">
        <v>15</v>
      </c>
      <c r="E13" s="6">
        <v>12.505813953488371</v>
      </c>
      <c r="F13" s="6">
        <v>11.95</v>
      </c>
      <c r="G13" s="6">
        <v>11.95</v>
      </c>
      <c r="H13" s="45">
        <v>0</v>
      </c>
      <c r="I13" s="45">
        <v>15</v>
      </c>
      <c r="J13" s="45">
        <v>12.85</v>
      </c>
      <c r="K13" s="45">
        <v>12.31</v>
      </c>
      <c r="L13" s="45">
        <f t="shared" si="1"/>
        <v>-0.36000000000000121</v>
      </c>
      <c r="M13" s="46" t="s">
        <v>132</v>
      </c>
      <c r="N13" s="46">
        <v>15</v>
      </c>
      <c r="O13" s="46">
        <v>13.59</v>
      </c>
      <c r="P13" s="46">
        <v>13.1</v>
      </c>
      <c r="Q13" s="47">
        <v>0</v>
      </c>
      <c r="R13" s="47">
        <v>15</v>
      </c>
      <c r="S13" s="47">
        <v>13</v>
      </c>
      <c r="T13" s="47">
        <v>12.51</v>
      </c>
      <c r="U13" s="48">
        <v>0</v>
      </c>
      <c r="V13" s="48">
        <v>60</v>
      </c>
      <c r="W13" s="48">
        <v>58</v>
      </c>
      <c r="X13" s="48">
        <v>56.3</v>
      </c>
      <c r="Y13" s="46">
        <v>0</v>
      </c>
      <c r="Z13" s="46">
        <v>15</v>
      </c>
      <c r="AA13" s="46">
        <v>0</v>
      </c>
      <c r="AB13" s="46">
        <v>11.5</v>
      </c>
      <c r="AC13" s="49">
        <v>0</v>
      </c>
      <c r="AD13" s="49">
        <v>15</v>
      </c>
      <c r="AE13" s="49">
        <v>13.73</v>
      </c>
      <c r="AF13" s="49">
        <v>12.6</v>
      </c>
      <c r="AG13" s="47">
        <v>0</v>
      </c>
      <c r="AH13" s="47">
        <v>0</v>
      </c>
      <c r="AI13" s="47">
        <v>0</v>
      </c>
      <c r="AJ13" s="47">
        <v>0</v>
      </c>
      <c r="AK13" s="48">
        <v>0</v>
      </c>
      <c r="AL13" s="48">
        <v>0</v>
      </c>
      <c r="AM13" s="48">
        <v>0</v>
      </c>
      <c r="AN13" s="48">
        <v>0</v>
      </c>
      <c r="AO13" s="49">
        <v>0</v>
      </c>
      <c r="AP13" s="49">
        <v>0</v>
      </c>
      <c r="AQ13" s="49">
        <v>0</v>
      </c>
      <c r="AR13" s="49">
        <v>0</v>
      </c>
      <c r="AS13" s="46">
        <v>0</v>
      </c>
      <c r="AT13" s="46">
        <v>14</v>
      </c>
      <c r="AU13" s="46">
        <v>13.33</v>
      </c>
      <c r="AV13" s="46">
        <v>12.95</v>
      </c>
      <c r="AW13" s="50">
        <v>0</v>
      </c>
      <c r="AX13" s="51">
        <v>0</v>
      </c>
      <c r="AY13" s="51">
        <v>0</v>
      </c>
      <c r="AZ13" s="51">
        <v>0</v>
      </c>
      <c r="BA13" s="52">
        <v>0</v>
      </c>
      <c r="BB13" s="53">
        <v>0</v>
      </c>
      <c r="BC13" s="53">
        <v>0</v>
      </c>
      <c r="BD13" s="53">
        <v>0</v>
      </c>
      <c r="BE13" s="54">
        <v>0</v>
      </c>
      <c r="BF13" s="55">
        <v>0</v>
      </c>
      <c r="BG13" s="55">
        <v>0</v>
      </c>
      <c r="BH13" s="55">
        <v>0</v>
      </c>
      <c r="BI13" s="56">
        <v>0</v>
      </c>
      <c r="BJ13" s="57">
        <v>0</v>
      </c>
      <c r="BK13" s="57">
        <v>0</v>
      </c>
      <c r="BL13" s="57">
        <v>0</v>
      </c>
    </row>
    <row r="14" spans="1:64" ht="24.95" customHeight="1" x14ac:dyDescent="0.25">
      <c r="A14" s="35">
        <f t="shared" si="0"/>
        <v>11</v>
      </c>
      <c r="B14" s="5" t="s">
        <v>43</v>
      </c>
      <c r="C14" s="4">
        <v>12</v>
      </c>
      <c r="D14" s="6">
        <v>60</v>
      </c>
      <c r="E14" s="6">
        <v>56.828846153846158</v>
      </c>
      <c r="F14" s="6">
        <v>50.95</v>
      </c>
      <c r="G14" s="6">
        <v>50.95</v>
      </c>
      <c r="H14" s="45">
        <v>0</v>
      </c>
      <c r="I14" s="45">
        <v>60</v>
      </c>
      <c r="J14" s="45">
        <v>53</v>
      </c>
      <c r="K14" s="45">
        <v>51.5</v>
      </c>
      <c r="L14" s="45">
        <f t="shared" si="1"/>
        <v>-0.54999999999999716</v>
      </c>
      <c r="M14" s="46">
        <v>0</v>
      </c>
      <c r="N14" s="46">
        <v>0</v>
      </c>
      <c r="O14" s="46">
        <v>0</v>
      </c>
      <c r="P14" s="46">
        <v>0</v>
      </c>
      <c r="Q14" s="47">
        <v>0</v>
      </c>
      <c r="R14" s="47">
        <v>55</v>
      </c>
      <c r="S14" s="47">
        <v>51</v>
      </c>
      <c r="T14" s="47">
        <v>49</v>
      </c>
      <c r="U14" s="48">
        <v>0</v>
      </c>
      <c r="V14" s="48">
        <v>0</v>
      </c>
      <c r="W14" s="48">
        <v>0</v>
      </c>
      <c r="X14" s="48">
        <v>0</v>
      </c>
      <c r="Y14" s="46">
        <v>0</v>
      </c>
      <c r="Z14" s="46">
        <v>62</v>
      </c>
      <c r="AA14" s="46">
        <v>0</v>
      </c>
      <c r="AB14" s="46">
        <v>48.5</v>
      </c>
      <c r="AC14" s="49">
        <v>0</v>
      </c>
      <c r="AD14" s="49">
        <v>0</v>
      </c>
      <c r="AE14" s="49">
        <v>0</v>
      </c>
      <c r="AF14" s="49">
        <v>0</v>
      </c>
      <c r="AG14" s="47">
        <v>0</v>
      </c>
      <c r="AH14" s="47">
        <v>0</v>
      </c>
      <c r="AI14" s="47">
        <v>0</v>
      </c>
      <c r="AJ14" s="47">
        <v>0</v>
      </c>
      <c r="AK14" s="48">
        <v>0</v>
      </c>
      <c r="AL14" s="48">
        <v>0</v>
      </c>
      <c r="AM14" s="48">
        <v>0</v>
      </c>
      <c r="AN14" s="48">
        <v>0</v>
      </c>
      <c r="AO14" s="49">
        <v>0</v>
      </c>
      <c r="AP14" s="49">
        <v>0</v>
      </c>
      <c r="AQ14" s="49">
        <v>0</v>
      </c>
      <c r="AR14" s="49">
        <v>0</v>
      </c>
      <c r="AS14" s="46">
        <v>0</v>
      </c>
      <c r="AT14" s="46">
        <v>52</v>
      </c>
      <c r="AU14" s="46">
        <v>49.52</v>
      </c>
      <c r="AV14" s="46">
        <v>48.85</v>
      </c>
      <c r="AW14" s="50">
        <v>0</v>
      </c>
      <c r="AX14" s="51">
        <v>0</v>
      </c>
      <c r="AY14" s="51">
        <v>0</v>
      </c>
      <c r="AZ14" s="51">
        <v>0</v>
      </c>
      <c r="BA14" s="52">
        <v>0</v>
      </c>
      <c r="BB14" s="53">
        <v>0</v>
      </c>
      <c r="BC14" s="53">
        <v>0</v>
      </c>
      <c r="BD14" s="53">
        <v>0</v>
      </c>
      <c r="BE14" s="54">
        <v>0</v>
      </c>
      <c r="BF14" s="55">
        <v>0</v>
      </c>
      <c r="BG14" s="55">
        <v>0</v>
      </c>
      <c r="BH14" s="55">
        <v>0</v>
      </c>
      <c r="BI14" s="56">
        <v>0</v>
      </c>
      <c r="BJ14" s="57">
        <v>0</v>
      </c>
      <c r="BK14" s="57">
        <v>0</v>
      </c>
      <c r="BL14" s="57">
        <v>0</v>
      </c>
    </row>
    <row r="15" spans="1:64" ht="24.95" customHeight="1" x14ac:dyDescent="0.25">
      <c r="A15" s="35">
        <f t="shared" si="0"/>
        <v>12</v>
      </c>
      <c r="B15" s="5" t="s">
        <v>43</v>
      </c>
      <c r="C15" s="4">
        <v>2</v>
      </c>
      <c r="D15" s="6">
        <v>60</v>
      </c>
      <c r="E15" s="6">
        <v>56.828846153846158</v>
      </c>
      <c r="F15" s="6">
        <v>50.95</v>
      </c>
      <c r="G15" s="6">
        <v>50.95</v>
      </c>
      <c r="H15" s="45">
        <v>0</v>
      </c>
      <c r="I15" s="45">
        <v>305</v>
      </c>
      <c r="J15" s="45">
        <v>283</v>
      </c>
      <c r="K15" s="45">
        <v>277</v>
      </c>
      <c r="L15" s="45">
        <f t="shared" si="1"/>
        <v>-226.05</v>
      </c>
      <c r="M15" s="46">
        <v>0</v>
      </c>
      <c r="N15" s="46">
        <v>0</v>
      </c>
      <c r="O15" s="46">
        <v>0</v>
      </c>
      <c r="P15" s="46">
        <v>0</v>
      </c>
      <c r="Q15" s="47">
        <v>0</v>
      </c>
      <c r="R15" s="47">
        <v>255</v>
      </c>
      <c r="S15" s="47">
        <v>240</v>
      </c>
      <c r="T15" s="47">
        <v>232</v>
      </c>
      <c r="U15" s="48">
        <v>0</v>
      </c>
      <c r="V15" s="48">
        <v>0</v>
      </c>
      <c r="W15" s="48">
        <v>0</v>
      </c>
      <c r="X15" s="48">
        <v>0</v>
      </c>
      <c r="Y15" s="46">
        <v>0</v>
      </c>
      <c r="Z15" s="46">
        <v>275</v>
      </c>
      <c r="AA15" s="46">
        <v>0</v>
      </c>
      <c r="AB15" s="46">
        <v>235</v>
      </c>
      <c r="AC15" s="49">
        <v>0</v>
      </c>
      <c r="AD15" s="49">
        <v>0</v>
      </c>
      <c r="AE15" s="49">
        <v>0</v>
      </c>
      <c r="AF15" s="49">
        <v>0</v>
      </c>
      <c r="AG15" s="47">
        <v>0</v>
      </c>
      <c r="AH15" s="47">
        <v>900</v>
      </c>
      <c r="AI15" s="47">
        <v>0</v>
      </c>
      <c r="AJ15" s="47">
        <v>715</v>
      </c>
      <c r="AK15" s="48">
        <v>0</v>
      </c>
      <c r="AL15" s="48">
        <v>0</v>
      </c>
      <c r="AM15" s="48">
        <v>0</v>
      </c>
      <c r="AN15" s="48">
        <v>0</v>
      </c>
      <c r="AO15" s="49">
        <v>0</v>
      </c>
      <c r="AP15" s="49">
        <v>0</v>
      </c>
      <c r="AQ15" s="49">
        <v>0</v>
      </c>
      <c r="AR15" s="49">
        <v>0</v>
      </c>
      <c r="AS15" s="46">
        <v>0</v>
      </c>
      <c r="AT15" s="46">
        <v>0</v>
      </c>
      <c r="AU15" s="46">
        <v>0</v>
      </c>
      <c r="AV15" s="46">
        <v>0</v>
      </c>
      <c r="AW15" s="50">
        <v>0</v>
      </c>
      <c r="AX15" s="51">
        <v>0</v>
      </c>
      <c r="AY15" s="51">
        <v>0</v>
      </c>
      <c r="AZ15" s="51">
        <v>0</v>
      </c>
      <c r="BA15" s="52">
        <v>0</v>
      </c>
      <c r="BB15" s="53">
        <v>0</v>
      </c>
      <c r="BC15" s="53">
        <v>0</v>
      </c>
      <c r="BD15" s="53">
        <v>0</v>
      </c>
      <c r="BE15" s="54">
        <v>0</v>
      </c>
      <c r="BF15" s="55">
        <v>0</v>
      </c>
      <c r="BG15" s="55">
        <v>0</v>
      </c>
      <c r="BH15" s="55">
        <v>0</v>
      </c>
      <c r="BI15" s="56">
        <v>0</v>
      </c>
      <c r="BJ15" s="57">
        <v>0</v>
      </c>
      <c r="BK15" s="57">
        <v>0</v>
      </c>
      <c r="BL15" s="57">
        <v>0</v>
      </c>
    </row>
    <row r="16" spans="1:64" ht="24.95" customHeight="1" x14ac:dyDescent="0.25">
      <c r="A16" s="35">
        <f t="shared" si="0"/>
        <v>13</v>
      </c>
      <c r="B16" s="5" t="s">
        <v>44</v>
      </c>
      <c r="C16" s="4">
        <v>2</v>
      </c>
      <c r="D16" s="6">
        <v>305</v>
      </c>
      <c r="E16" s="6">
        <v>244.58181818181819</v>
      </c>
      <c r="F16" s="6">
        <v>236</v>
      </c>
      <c r="G16" s="6">
        <v>236</v>
      </c>
      <c r="H16" s="45">
        <v>0</v>
      </c>
      <c r="I16" s="45">
        <v>275</v>
      </c>
      <c r="J16" s="45">
        <v>261</v>
      </c>
      <c r="K16" s="45">
        <v>255</v>
      </c>
      <c r="L16" s="45">
        <f t="shared" si="1"/>
        <v>-19</v>
      </c>
      <c r="M16" s="46">
        <v>0</v>
      </c>
      <c r="N16" s="46">
        <v>0</v>
      </c>
      <c r="O16" s="46">
        <v>0</v>
      </c>
      <c r="P16" s="46">
        <v>0</v>
      </c>
      <c r="Q16" s="47">
        <v>0</v>
      </c>
      <c r="R16" s="47">
        <v>260</v>
      </c>
      <c r="S16" s="47">
        <v>245</v>
      </c>
      <c r="T16" s="47">
        <v>237.45</v>
      </c>
      <c r="U16" s="48">
        <v>0</v>
      </c>
      <c r="V16" s="48">
        <v>0</v>
      </c>
      <c r="W16" s="48">
        <v>0</v>
      </c>
      <c r="X16" s="48">
        <v>0</v>
      </c>
      <c r="Y16" s="46">
        <v>0</v>
      </c>
      <c r="Z16" s="46">
        <v>0</v>
      </c>
      <c r="AA16" s="46">
        <v>0</v>
      </c>
      <c r="AB16" s="46">
        <v>0</v>
      </c>
      <c r="AC16" s="49">
        <v>0</v>
      </c>
      <c r="AD16" s="49">
        <v>0</v>
      </c>
      <c r="AE16" s="49">
        <v>0</v>
      </c>
      <c r="AF16" s="49">
        <v>0</v>
      </c>
      <c r="AG16" s="47">
        <v>0</v>
      </c>
      <c r="AH16" s="47">
        <v>0</v>
      </c>
      <c r="AI16" s="47">
        <v>0</v>
      </c>
      <c r="AJ16" s="47">
        <v>0</v>
      </c>
      <c r="AK16" s="48">
        <v>0</v>
      </c>
      <c r="AL16" s="48">
        <v>0</v>
      </c>
      <c r="AM16" s="48">
        <v>0</v>
      </c>
      <c r="AN16" s="48">
        <v>0</v>
      </c>
      <c r="AO16" s="49">
        <v>0</v>
      </c>
      <c r="AP16" s="49">
        <v>0</v>
      </c>
      <c r="AQ16" s="49">
        <v>0</v>
      </c>
      <c r="AR16" s="49">
        <v>0</v>
      </c>
      <c r="AS16" s="46">
        <v>0</v>
      </c>
      <c r="AT16" s="46">
        <v>0</v>
      </c>
      <c r="AU16" s="46">
        <v>0</v>
      </c>
      <c r="AV16" s="46">
        <v>0</v>
      </c>
      <c r="AW16" s="50">
        <v>0</v>
      </c>
      <c r="AX16" s="51">
        <v>0</v>
      </c>
      <c r="AY16" s="51">
        <v>0</v>
      </c>
      <c r="AZ16" s="51">
        <v>0</v>
      </c>
      <c r="BA16" s="52">
        <v>0</v>
      </c>
      <c r="BB16" s="53">
        <v>0</v>
      </c>
      <c r="BC16" s="53">
        <v>0</v>
      </c>
      <c r="BD16" s="53">
        <v>0</v>
      </c>
      <c r="BE16" s="54">
        <v>0</v>
      </c>
      <c r="BF16" s="55">
        <v>0</v>
      </c>
      <c r="BG16" s="55">
        <v>0</v>
      </c>
      <c r="BH16" s="55">
        <v>0</v>
      </c>
      <c r="BI16" s="56">
        <v>0</v>
      </c>
      <c r="BJ16" s="57">
        <v>0</v>
      </c>
      <c r="BK16" s="57">
        <v>0</v>
      </c>
      <c r="BL16" s="57">
        <v>0</v>
      </c>
    </row>
    <row r="17" spans="1:64" ht="24.95" customHeight="1" x14ac:dyDescent="0.25">
      <c r="A17" s="35">
        <f t="shared" si="0"/>
        <v>14</v>
      </c>
      <c r="B17" s="5" t="s">
        <v>46</v>
      </c>
      <c r="C17" s="4">
        <v>1</v>
      </c>
      <c r="D17" s="6">
        <v>985</v>
      </c>
      <c r="E17" s="6">
        <v>842.96511627906978</v>
      </c>
      <c r="F17" s="6">
        <v>810</v>
      </c>
      <c r="G17" s="6">
        <v>810</v>
      </c>
      <c r="H17" s="45">
        <v>0</v>
      </c>
      <c r="I17" s="45">
        <v>1100</v>
      </c>
      <c r="J17" s="45">
        <v>1040</v>
      </c>
      <c r="K17" s="45">
        <v>1020</v>
      </c>
      <c r="L17" s="45">
        <f t="shared" si="1"/>
        <v>-210</v>
      </c>
      <c r="M17" s="46">
        <v>0</v>
      </c>
      <c r="N17" s="46">
        <v>0</v>
      </c>
      <c r="O17" s="46">
        <v>0</v>
      </c>
      <c r="P17" s="46">
        <v>0</v>
      </c>
      <c r="Q17" s="47" t="s">
        <v>133</v>
      </c>
      <c r="R17" s="47">
        <v>600</v>
      </c>
      <c r="S17" s="47">
        <v>575</v>
      </c>
      <c r="T17" s="47">
        <v>560</v>
      </c>
      <c r="U17" s="48">
        <v>0</v>
      </c>
      <c r="V17" s="48">
        <v>0</v>
      </c>
      <c r="W17" s="48">
        <v>0</v>
      </c>
      <c r="X17" s="48">
        <v>0</v>
      </c>
      <c r="Y17" s="46">
        <v>0</v>
      </c>
      <c r="Z17" s="46">
        <v>900</v>
      </c>
      <c r="AA17" s="46">
        <v>0</v>
      </c>
      <c r="AB17" s="46">
        <v>785</v>
      </c>
      <c r="AC17" s="49">
        <v>0</v>
      </c>
      <c r="AD17" s="49">
        <v>0</v>
      </c>
      <c r="AE17" s="49">
        <v>0</v>
      </c>
      <c r="AF17" s="49">
        <v>0</v>
      </c>
      <c r="AG17" s="47">
        <v>0</v>
      </c>
      <c r="AH17" s="47">
        <v>0</v>
      </c>
      <c r="AI17" s="47">
        <v>0</v>
      </c>
      <c r="AJ17" s="47">
        <v>0</v>
      </c>
      <c r="AK17" s="48">
        <v>0</v>
      </c>
      <c r="AL17" s="48">
        <v>0</v>
      </c>
      <c r="AM17" s="48">
        <v>0</v>
      </c>
      <c r="AN17" s="48">
        <v>0</v>
      </c>
      <c r="AO17" s="49">
        <v>0</v>
      </c>
      <c r="AP17" s="49">
        <v>900</v>
      </c>
      <c r="AQ17" s="49">
        <v>0</v>
      </c>
      <c r="AR17" s="49">
        <v>740</v>
      </c>
      <c r="AS17" s="46">
        <v>0</v>
      </c>
      <c r="AT17" s="46">
        <v>0</v>
      </c>
      <c r="AU17" s="46">
        <v>0</v>
      </c>
      <c r="AV17" s="46">
        <v>0</v>
      </c>
      <c r="AW17" s="50">
        <v>0</v>
      </c>
      <c r="AX17" s="51">
        <v>0</v>
      </c>
      <c r="AY17" s="51">
        <v>0</v>
      </c>
      <c r="AZ17" s="51">
        <v>0</v>
      </c>
      <c r="BA17" s="52">
        <v>0</v>
      </c>
      <c r="BB17" s="53">
        <v>0</v>
      </c>
      <c r="BC17" s="53">
        <v>0</v>
      </c>
      <c r="BD17" s="53">
        <v>0</v>
      </c>
      <c r="BE17" s="54">
        <v>0</v>
      </c>
      <c r="BF17" s="55">
        <v>0</v>
      </c>
      <c r="BG17" s="55">
        <v>0</v>
      </c>
      <c r="BH17" s="55">
        <v>0</v>
      </c>
      <c r="BI17" s="56">
        <v>0</v>
      </c>
      <c r="BJ17" s="57">
        <v>0</v>
      </c>
      <c r="BK17" s="57">
        <v>0</v>
      </c>
      <c r="BL17" s="57">
        <v>0</v>
      </c>
    </row>
    <row r="18" spans="1:64" ht="24.95" customHeight="1" x14ac:dyDescent="0.25">
      <c r="A18" s="35">
        <f t="shared" si="0"/>
        <v>15</v>
      </c>
      <c r="B18" s="5" t="s">
        <v>47</v>
      </c>
      <c r="C18" s="4">
        <v>12</v>
      </c>
      <c r="D18" s="6">
        <v>20</v>
      </c>
      <c r="E18" s="6">
        <v>16.667749999999998</v>
      </c>
      <c r="F18" s="6">
        <v>15.95</v>
      </c>
      <c r="G18" s="6">
        <v>15.95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6">
        <v>0</v>
      </c>
      <c r="N18" s="46">
        <v>0</v>
      </c>
      <c r="O18" s="46">
        <v>0</v>
      </c>
      <c r="P18" s="46">
        <v>0</v>
      </c>
      <c r="Q18" s="47">
        <v>0</v>
      </c>
      <c r="R18" s="47">
        <v>0</v>
      </c>
      <c r="S18" s="47">
        <v>0</v>
      </c>
      <c r="T18" s="47">
        <v>0</v>
      </c>
      <c r="U18" s="48">
        <v>0</v>
      </c>
      <c r="V18" s="48">
        <v>0</v>
      </c>
      <c r="W18" s="48">
        <v>0</v>
      </c>
      <c r="X18" s="48">
        <v>0</v>
      </c>
      <c r="Y18" s="46">
        <v>0</v>
      </c>
      <c r="Z18" s="46">
        <v>0</v>
      </c>
      <c r="AA18" s="46">
        <v>0</v>
      </c>
      <c r="AB18" s="46">
        <v>0</v>
      </c>
      <c r="AC18" s="49">
        <v>0</v>
      </c>
      <c r="AD18" s="49">
        <v>0</v>
      </c>
      <c r="AE18" s="49">
        <v>0</v>
      </c>
      <c r="AF18" s="49">
        <v>0</v>
      </c>
      <c r="AG18" s="47">
        <v>0</v>
      </c>
      <c r="AH18" s="47">
        <v>0</v>
      </c>
      <c r="AI18" s="47">
        <v>0</v>
      </c>
      <c r="AJ18" s="47">
        <v>0</v>
      </c>
      <c r="AK18" s="48">
        <v>0</v>
      </c>
      <c r="AL18" s="48">
        <v>0</v>
      </c>
      <c r="AM18" s="48">
        <v>0</v>
      </c>
      <c r="AN18" s="48">
        <v>0</v>
      </c>
      <c r="AO18" s="49">
        <v>0</v>
      </c>
      <c r="AP18" s="49">
        <v>0</v>
      </c>
      <c r="AQ18" s="49">
        <v>0</v>
      </c>
      <c r="AR18" s="49">
        <v>0</v>
      </c>
      <c r="AS18" s="46">
        <v>0</v>
      </c>
      <c r="AT18" s="46">
        <v>0</v>
      </c>
      <c r="AU18" s="46">
        <v>0</v>
      </c>
      <c r="AV18" s="46">
        <v>0</v>
      </c>
      <c r="AW18" s="50">
        <v>0</v>
      </c>
      <c r="AX18" s="51">
        <v>0</v>
      </c>
      <c r="AY18" s="51">
        <v>0</v>
      </c>
      <c r="AZ18" s="51">
        <v>0</v>
      </c>
      <c r="BA18" s="52">
        <v>0</v>
      </c>
      <c r="BB18" s="53">
        <v>0</v>
      </c>
      <c r="BC18" s="53">
        <v>0</v>
      </c>
      <c r="BD18" s="53">
        <v>0</v>
      </c>
      <c r="BE18" s="54">
        <v>0</v>
      </c>
      <c r="BF18" s="55">
        <v>0</v>
      </c>
      <c r="BG18" s="55">
        <v>0</v>
      </c>
      <c r="BH18" s="55">
        <v>0</v>
      </c>
      <c r="BI18" s="56">
        <v>0</v>
      </c>
      <c r="BJ18" s="57">
        <v>0</v>
      </c>
      <c r="BK18" s="57">
        <v>0</v>
      </c>
      <c r="BL18" s="57">
        <v>0</v>
      </c>
    </row>
    <row r="19" spans="1:64" ht="23.25" customHeight="1" x14ac:dyDescent="0.25">
      <c r="A19" s="35">
        <f t="shared" si="0"/>
        <v>16</v>
      </c>
      <c r="B19" s="5" t="s">
        <v>96</v>
      </c>
      <c r="C19" s="4">
        <v>12</v>
      </c>
      <c r="D19" s="6">
        <v>20</v>
      </c>
      <c r="E19" s="6">
        <v>17.937219730941703</v>
      </c>
      <c r="F19" s="6">
        <v>17.164803570279144</v>
      </c>
      <c r="G19" s="6">
        <v>17.164803570279144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6">
        <v>0</v>
      </c>
      <c r="N19" s="46">
        <v>0</v>
      </c>
      <c r="O19" s="46">
        <v>0</v>
      </c>
      <c r="P19" s="46">
        <v>0</v>
      </c>
      <c r="Q19" s="47">
        <v>0</v>
      </c>
      <c r="R19" s="47">
        <v>0</v>
      </c>
      <c r="S19" s="47">
        <v>0</v>
      </c>
      <c r="T19" s="47">
        <v>0</v>
      </c>
      <c r="U19" s="48">
        <v>0</v>
      </c>
      <c r="V19" s="48">
        <v>0</v>
      </c>
      <c r="W19" s="48">
        <v>0</v>
      </c>
      <c r="X19" s="48">
        <v>0</v>
      </c>
      <c r="Y19" s="46">
        <v>0</v>
      </c>
      <c r="Z19" s="46">
        <v>0</v>
      </c>
      <c r="AA19" s="46">
        <v>0</v>
      </c>
      <c r="AB19" s="46">
        <v>0</v>
      </c>
      <c r="AC19" s="49">
        <v>0</v>
      </c>
      <c r="AD19" s="49">
        <v>0</v>
      </c>
      <c r="AE19" s="49">
        <v>0</v>
      </c>
      <c r="AF19" s="49">
        <v>0</v>
      </c>
      <c r="AG19" s="47">
        <v>0</v>
      </c>
      <c r="AH19" s="47">
        <v>0</v>
      </c>
      <c r="AI19" s="47">
        <v>0</v>
      </c>
      <c r="AJ19" s="47">
        <v>0</v>
      </c>
      <c r="AK19" s="48">
        <v>0</v>
      </c>
      <c r="AL19" s="48">
        <v>0</v>
      </c>
      <c r="AM19" s="48">
        <v>0</v>
      </c>
      <c r="AN19" s="48">
        <v>0</v>
      </c>
      <c r="AO19" s="49">
        <v>0</v>
      </c>
      <c r="AP19" s="49">
        <v>0</v>
      </c>
      <c r="AQ19" s="49">
        <v>0</v>
      </c>
      <c r="AR19" s="49">
        <v>0</v>
      </c>
      <c r="AS19" s="46">
        <v>0</v>
      </c>
      <c r="AT19" s="46">
        <v>0</v>
      </c>
      <c r="AU19" s="46">
        <v>0</v>
      </c>
      <c r="AV19" s="46">
        <v>0</v>
      </c>
      <c r="AW19" s="50">
        <v>0</v>
      </c>
      <c r="AX19" s="59">
        <v>0</v>
      </c>
      <c r="AY19" s="51">
        <v>0</v>
      </c>
      <c r="AZ19" s="59">
        <v>0</v>
      </c>
      <c r="BA19" s="52">
        <v>0</v>
      </c>
      <c r="BB19" s="60">
        <v>0</v>
      </c>
      <c r="BC19" s="53">
        <v>0</v>
      </c>
      <c r="BD19" s="60">
        <v>0</v>
      </c>
      <c r="BE19" s="54">
        <v>0</v>
      </c>
      <c r="BF19" s="61">
        <v>0</v>
      </c>
      <c r="BG19" s="55">
        <v>0</v>
      </c>
      <c r="BH19" s="61">
        <v>0</v>
      </c>
      <c r="BI19" s="56">
        <v>0</v>
      </c>
      <c r="BJ19" s="62">
        <v>0</v>
      </c>
      <c r="BK19" s="57">
        <v>0</v>
      </c>
      <c r="BL19" s="62">
        <v>0</v>
      </c>
    </row>
    <row r="20" spans="1:64" ht="24.95" hidden="1" customHeight="1" x14ac:dyDescent="0.25">
      <c r="A20" s="35">
        <f t="shared" si="0"/>
        <v>17</v>
      </c>
      <c r="B20" s="58" t="s">
        <v>48</v>
      </c>
      <c r="C20" s="4">
        <v>60</v>
      </c>
      <c r="D20" s="6">
        <v>15</v>
      </c>
      <c r="E20" s="6">
        <v>12.652941176470588</v>
      </c>
      <c r="F20" s="6">
        <v>11.95</v>
      </c>
      <c r="G20" s="6">
        <v>11.95</v>
      </c>
      <c r="H20" s="45" t="s">
        <v>134</v>
      </c>
      <c r="I20" s="45">
        <v>15</v>
      </c>
      <c r="J20" s="45">
        <v>13.5</v>
      </c>
      <c r="K20" s="45">
        <v>12.75</v>
      </c>
      <c r="L20" s="45">
        <f t="shared" si="1"/>
        <v>-0.80000000000000071</v>
      </c>
      <c r="M20" s="46">
        <v>0</v>
      </c>
      <c r="N20" s="46">
        <v>0</v>
      </c>
      <c r="O20" s="46">
        <v>0</v>
      </c>
      <c r="P20" s="46">
        <v>0</v>
      </c>
      <c r="Q20" s="47">
        <v>0</v>
      </c>
      <c r="R20" s="47">
        <v>15</v>
      </c>
      <c r="S20" s="47">
        <v>12.7</v>
      </c>
      <c r="T20" s="47">
        <v>12</v>
      </c>
      <c r="U20" s="48">
        <v>0</v>
      </c>
      <c r="V20" s="48">
        <v>0</v>
      </c>
      <c r="W20" s="48">
        <v>0</v>
      </c>
      <c r="X20" s="48">
        <v>0</v>
      </c>
      <c r="Y20" s="46">
        <v>0</v>
      </c>
      <c r="Z20" s="46">
        <v>12</v>
      </c>
      <c r="AA20" s="46">
        <v>0</v>
      </c>
      <c r="AB20" s="46">
        <v>9.5</v>
      </c>
      <c r="AC20" s="49">
        <v>0</v>
      </c>
      <c r="AD20" s="49">
        <v>0</v>
      </c>
      <c r="AE20" s="49">
        <v>0</v>
      </c>
      <c r="AF20" s="49">
        <v>0</v>
      </c>
      <c r="AG20" s="47">
        <v>0</v>
      </c>
      <c r="AH20" s="47">
        <v>0</v>
      </c>
      <c r="AI20" s="47">
        <v>0</v>
      </c>
      <c r="AJ20" s="47">
        <v>0</v>
      </c>
      <c r="AK20" s="48">
        <v>0</v>
      </c>
      <c r="AL20" s="48">
        <v>0</v>
      </c>
      <c r="AM20" s="48">
        <v>0</v>
      </c>
      <c r="AN20" s="48">
        <v>0</v>
      </c>
      <c r="AO20" s="49">
        <v>0</v>
      </c>
      <c r="AP20" s="49">
        <v>0</v>
      </c>
      <c r="AQ20" s="49">
        <v>0</v>
      </c>
      <c r="AR20" s="49">
        <v>0</v>
      </c>
      <c r="AS20" s="46">
        <v>0</v>
      </c>
      <c r="AT20" s="46">
        <v>0</v>
      </c>
      <c r="AU20" s="46">
        <v>0</v>
      </c>
      <c r="AV20" s="46">
        <v>0</v>
      </c>
      <c r="AW20" s="50" t="s">
        <v>135</v>
      </c>
      <c r="AX20" s="51">
        <v>16</v>
      </c>
      <c r="AY20" s="51">
        <v>12.57</v>
      </c>
      <c r="AZ20" s="51">
        <v>11.97</v>
      </c>
      <c r="BA20" s="52" t="s">
        <v>135</v>
      </c>
      <c r="BB20" s="53">
        <v>16</v>
      </c>
      <c r="BC20" s="53">
        <v>12.8</v>
      </c>
      <c r="BD20" s="53">
        <v>11.2</v>
      </c>
      <c r="BE20" s="54">
        <v>0</v>
      </c>
      <c r="BF20" s="55">
        <v>0</v>
      </c>
      <c r="BG20" s="55">
        <v>0</v>
      </c>
      <c r="BH20" s="55">
        <v>0</v>
      </c>
      <c r="BI20" s="56">
        <v>0</v>
      </c>
      <c r="BJ20" s="57">
        <v>15</v>
      </c>
      <c r="BK20" s="57">
        <v>12</v>
      </c>
      <c r="BL20" s="57">
        <v>11</v>
      </c>
    </row>
    <row r="21" spans="1:64" ht="24.95" customHeight="1" x14ac:dyDescent="0.25">
      <c r="A21" s="35">
        <v>17</v>
      </c>
      <c r="B21" s="5" t="s">
        <v>49</v>
      </c>
      <c r="C21" s="4">
        <v>10</v>
      </c>
      <c r="D21" s="6">
        <v>25</v>
      </c>
      <c r="E21" s="6">
        <v>22.5</v>
      </c>
      <c r="F21" s="6">
        <v>21.5</v>
      </c>
      <c r="G21" s="6">
        <v>20.15625</v>
      </c>
      <c r="H21" s="45">
        <v>0</v>
      </c>
      <c r="I21" s="45">
        <v>20</v>
      </c>
      <c r="J21" s="45">
        <v>18</v>
      </c>
      <c r="K21" s="45">
        <v>17</v>
      </c>
      <c r="L21" s="63">
        <f t="shared" si="1"/>
        <v>3.15625</v>
      </c>
      <c r="M21" s="46">
        <v>0</v>
      </c>
      <c r="N21" s="46">
        <v>0</v>
      </c>
      <c r="O21" s="46">
        <v>0</v>
      </c>
      <c r="P21" s="46">
        <v>0</v>
      </c>
      <c r="Q21" s="47" t="s">
        <v>136</v>
      </c>
      <c r="R21" s="47">
        <v>25</v>
      </c>
      <c r="S21" s="47">
        <v>20.55</v>
      </c>
      <c r="T21" s="47">
        <v>19.55</v>
      </c>
      <c r="U21" s="48">
        <v>0</v>
      </c>
      <c r="V21" s="48">
        <v>20</v>
      </c>
      <c r="W21" s="48">
        <v>18</v>
      </c>
      <c r="X21" s="48">
        <v>17</v>
      </c>
      <c r="Y21" s="46">
        <v>0</v>
      </c>
      <c r="Z21" s="46">
        <v>22</v>
      </c>
      <c r="AA21" s="46">
        <v>0</v>
      </c>
      <c r="AB21" s="46">
        <v>17</v>
      </c>
      <c r="AC21" s="49">
        <v>0</v>
      </c>
      <c r="AD21" s="49">
        <v>0</v>
      </c>
      <c r="AE21" s="49">
        <v>0</v>
      </c>
      <c r="AF21" s="49">
        <v>0</v>
      </c>
      <c r="AG21" s="47">
        <v>0</v>
      </c>
      <c r="AH21" s="47">
        <v>0</v>
      </c>
      <c r="AI21" s="47">
        <v>0</v>
      </c>
      <c r="AJ21" s="47">
        <v>0</v>
      </c>
      <c r="AK21" s="48">
        <v>0</v>
      </c>
      <c r="AL21" s="48">
        <v>0</v>
      </c>
      <c r="AM21" s="48">
        <v>0</v>
      </c>
      <c r="AN21" s="48">
        <v>0</v>
      </c>
      <c r="AO21" s="49">
        <v>0</v>
      </c>
      <c r="AP21" s="49">
        <v>0</v>
      </c>
      <c r="AQ21" s="49">
        <v>0</v>
      </c>
      <c r="AR21" s="49">
        <v>0</v>
      </c>
      <c r="AS21" s="46">
        <v>0</v>
      </c>
      <c r="AT21" s="46">
        <v>0</v>
      </c>
      <c r="AU21" s="46">
        <v>0</v>
      </c>
      <c r="AV21" s="46">
        <v>0</v>
      </c>
      <c r="AW21" s="50" t="s">
        <v>135</v>
      </c>
      <c r="AX21" s="51">
        <v>26</v>
      </c>
      <c r="AY21" s="51">
        <v>23.59</v>
      </c>
      <c r="AZ21" s="51">
        <v>22.05</v>
      </c>
      <c r="BA21" s="52">
        <v>0</v>
      </c>
      <c r="BB21" s="53">
        <v>0</v>
      </c>
      <c r="BC21" s="53">
        <v>0</v>
      </c>
      <c r="BD21" s="53">
        <v>0</v>
      </c>
      <c r="BE21" s="54">
        <v>0</v>
      </c>
      <c r="BF21" s="55">
        <v>0</v>
      </c>
      <c r="BG21" s="55">
        <v>0</v>
      </c>
      <c r="BH21" s="55">
        <v>0</v>
      </c>
      <c r="BI21" s="56">
        <v>0</v>
      </c>
      <c r="BJ21" s="57">
        <v>0</v>
      </c>
      <c r="BK21" s="57">
        <v>0</v>
      </c>
      <c r="BL21" s="57">
        <v>0</v>
      </c>
    </row>
    <row r="22" spans="1:64" ht="24.95" customHeight="1" x14ac:dyDescent="0.25">
      <c r="A22" s="35">
        <f t="shared" si="0"/>
        <v>18</v>
      </c>
      <c r="B22" s="5" t="s">
        <v>52</v>
      </c>
      <c r="C22" s="4">
        <v>10</v>
      </c>
      <c r="D22" s="6">
        <v>35</v>
      </c>
      <c r="E22" s="6">
        <v>31.25</v>
      </c>
      <c r="F22" s="6">
        <v>30</v>
      </c>
      <c r="G22" s="6">
        <v>27.272727272727273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6">
        <v>0</v>
      </c>
      <c r="N22" s="46">
        <v>0</v>
      </c>
      <c r="O22" s="46">
        <v>0</v>
      </c>
      <c r="P22" s="46">
        <v>0</v>
      </c>
      <c r="Q22" s="47">
        <v>0</v>
      </c>
      <c r="R22" s="47">
        <v>0</v>
      </c>
      <c r="S22" s="47">
        <v>0</v>
      </c>
      <c r="T22" s="47">
        <v>0</v>
      </c>
      <c r="U22" s="48">
        <v>0</v>
      </c>
      <c r="V22" s="48">
        <v>0</v>
      </c>
      <c r="W22" s="48">
        <v>0</v>
      </c>
      <c r="X22" s="48">
        <v>0</v>
      </c>
      <c r="Y22" s="46">
        <v>0</v>
      </c>
      <c r="Z22" s="46">
        <v>30</v>
      </c>
      <c r="AA22" s="46">
        <v>0</v>
      </c>
      <c r="AB22" s="46">
        <v>24</v>
      </c>
      <c r="AC22" s="49">
        <v>0</v>
      </c>
      <c r="AD22" s="49">
        <v>25</v>
      </c>
      <c r="AE22" s="49">
        <v>23.16</v>
      </c>
      <c r="AF22" s="49">
        <v>22.05</v>
      </c>
      <c r="AG22" s="47">
        <v>0</v>
      </c>
      <c r="AH22" s="47">
        <v>0</v>
      </c>
      <c r="AI22" s="47">
        <v>0</v>
      </c>
      <c r="AJ22" s="47">
        <v>0</v>
      </c>
      <c r="AK22" s="48">
        <v>0</v>
      </c>
      <c r="AL22" s="48">
        <v>0</v>
      </c>
      <c r="AM22" s="48">
        <v>0</v>
      </c>
      <c r="AN22" s="48">
        <v>0</v>
      </c>
      <c r="AO22" s="49">
        <v>0</v>
      </c>
      <c r="AP22" s="49">
        <v>0</v>
      </c>
      <c r="AQ22" s="49">
        <v>0</v>
      </c>
      <c r="AR22" s="49">
        <v>0</v>
      </c>
      <c r="AS22" s="46">
        <v>0</v>
      </c>
      <c r="AT22" s="46">
        <v>0</v>
      </c>
      <c r="AU22" s="46">
        <v>0</v>
      </c>
      <c r="AV22" s="46">
        <v>0</v>
      </c>
      <c r="AW22" s="50">
        <v>0</v>
      </c>
      <c r="AX22" s="51">
        <v>0</v>
      </c>
      <c r="AY22" s="51">
        <v>0</v>
      </c>
      <c r="AZ22" s="51">
        <v>0</v>
      </c>
      <c r="BA22" s="52">
        <v>0</v>
      </c>
      <c r="BB22" s="53">
        <v>0</v>
      </c>
      <c r="BC22" s="53">
        <v>0</v>
      </c>
      <c r="BD22" s="53">
        <v>0</v>
      </c>
      <c r="BE22" s="54">
        <v>0</v>
      </c>
      <c r="BF22" s="55">
        <v>0</v>
      </c>
      <c r="BG22" s="55">
        <v>0</v>
      </c>
      <c r="BH22" s="55">
        <v>0</v>
      </c>
      <c r="BI22" s="56">
        <v>0</v>
      </c>
      <c r="BJ22" s="57">
        <v>0</v>
      </c>
      <c r="BK22" s="57">
        <v>0</v>
      </c>
      <c r="BL22" s="57">
        <v>0</v>
      </c>
    </row>
    <row r="23" spans="1:64" ht="24.95" hidden="1" customHeight="1" x14ac:dyDescent="0.25">
      <c r="A23" s="35">
        <f t="shared" si="0"/>
        <v>19</v>
      </c>
      <c r="B23" s="58" t="s">
        <v>137</v>
      </c>
      <c r="C23" s="4">
        <v>10</v>
      </c>
      <c r="D23" s="6">
        <v>35</v>
      </c>
      <c r="E23" s="6">
        <v>31.25</v>
      </c>
      <c r="F23" s="6">
        <v>30</v>
      </c>
      <c r="G23" s="6" t="s">
        <v>23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6">
        <v>0</v>
      </c>
      <c r="N23" s="46">
        <v>0</v>
      </c>
      <c r="O23" s="46">
        <v>0</v>
      </c>
      <c r="P23" s="46">
        <v>0</v>
      </c>
      <c r="Q23" s="47">
        <v>0</v>
      </c>
      <c r="R23" s="47">
        <v>0</v>
      </c>
      <c r="S23" s="47">
        <v>0</v>
      </c>
      <c r="T23" s="47">
        <v>0</v>
      </c>
      <c r="U23" s="48">
        <v>0</v>
      </c>
      <c r="V23" s="48">
        <v>0</v>
      </c>
      <c r="W23" s="48">
        <v>0</v>
      </c>
      <c r="X23" s="48">
        <v>0</v>
      </c>
      <c r="Y23" s="46">
        <v>0</v>
      </c>
      <c r="Z23" s="46">
        <v>0</v>
      </c>
      <c r="AA23" s="46">
        <v>0</v>
      </c>
      <c r="AB23" s="46">
        <v>0</v>
      </c>
      <c r="AC23" s="49">
        <v>0</v>
      </c>
      <c r="AD23" s="49">
        <v>0</v>
      </c>
      <c r="AE23" s="49">
        <v>0</v>
      </c>
      <c r="AF23" s="49">
        <v>0</v>
      </c>
      <c r="AG23" s="47">
        <v>0</v>
      </c>
      <c r="AH23" s="47">
        <v>0</v>
      </c>
      <c r="AI23" s="47">
        <v>0</v>
      </c>
      <c r="AJ23" s="47">
        <v>0</v>
      </c>
      <c r="AK23" s="48">
        <v>0</v>
      </c>
      <c r="AL23" s="48">
        <v>0</v>
      </c>
      <c r="AM23" s="48">
        <v>0</v>
      </c>
      <c r="AN23" s="48">
        <v>0</v>
      </c>
      <c r="AO23" s="49">
        <v>0</v>
      </c>
      <c r="AP23" s="49">
        <v>0</v>
      </c>
      <c r="AQ23" s="49">
        <v>0</v>
      </c>
      <c r="AR23" s="49">
        <v>0</v>
      </c>
      <c r="AS23" s="46">
        <v>0</v>
      </c>
      <c r="AT23" s="46">
        <v>0</v>
      </c>
      <c r="AU23" s="46">
        <v>0</v>
      </c>
      <c r="AV23" s="46">
        <v>0</v>
      </c>
      <c r="AW23" s="50">
        <v>0</v>
      </c>
      <c r="AX23" s="51">
        <v>0</v>
      </c>
      <c r="AY23" s="51">
        <v>0</v>
      </c>
      <c r="AZ23" s="51">
        <v>0</v>
      </c>
      <c r="BA23" s="52">
        <v>0</v>
      </c>
      <c r="BB23" s="53">
        <v>0</v>
      </c>
      <c r="BC23" s="53">
        <v>0</v>
      </c>
      <c r="BD23" s="53">
        <v>0</v>
      </c>
      <c r="BE23" s="54">
        <v>0</v>
      </c>
      <c r="BF23" s="55">
        <v>0</v>
      </c>
      <c r="BG23" s="55">
        <v>0</v>
      </c>
      <c r="BH23" s="55">
        <v>0</v>
      </c>
      <c r="BI23" s="56">
        <v>0</v>
      </c>
      <c r="BJ23" s="57">
        <v>0</v>
      </c>
      <c r="BK23" s="57">
        <v>0</v>
      </c>
      <c r="BL23" s="57">
        <v>0</v>
      </c>
    </row>
    <row r="24" spans="1:64" ht="24.95" hidden="1" customHeight="1" x14ac:dyDescent="0.25">
      <c r="A24" s="35">
        <f t="shared" si="0"/>
        <v>20</v>
      </c>
      <c r="B24" s="58" t="s">
        <v>138</v>
      </c>
      <c r="C24" s="4">
        <v>60</v>
      </c>
      <c r="D24" s="6" t="s">
        <v>23</v>
      </c>
      <c r="E24" s="6" t="s">
        <v>23</v>
      </c>
      <c r="F24" s="6" t="s">
        <v>23</v>
      </c>
      <c r="G24" s="6" t="s">
        <v>23</v>
      </c>
      <c r="H24" s="45">
        <v>0</v>
      </c>
      <c r="I24" s="45">
        <v>8</v>
      </c>
      <c r="J24" s="45">
        <v>7.2</v>
      </c>
      <c r="K24" s="45">
        <v>6.9</v>
      </c>
      <c r="L24" s="45"/>
      <c r="M24" s="46" t="s">
        <v>139</v>
      </c>
      <c r="N24" s="46">
        <v>7</v>
      </c>
      <c r="O24" s="46">
        <v>6.29</v>
      </c>
      <c r="P24" s="46">
        <v>6.06</v>
      </c>
      <c r="Q24" s="47">
        <v>0</v>
      </c>
      <c r="R24" s="47">
        <v>7</v>
      </c>
      <c r="S24" s="47">
        <v>6.5</v>
      </c>
      <c r="T24" s="47">
        <v>6.1</v>
      </c>
      <c r="U24" s="48">
        <v>0</v>
      </c>
      <c r="V24" s="48">
        <v>10</v>
      </c>
      <c r="W24" s="48">
        <v>9</v>
      </c>
      <c r="X24" s="48">
        <v>8</v>
      </c>
      <c r="Y24" s="46">
        <v>0</v>
      </c>
      <c r="Z24" s="46">
        <v>10</v>
      </c>
      <c r="AA24" s="46">
        <v>0</v>
      </c>
      <c r="AB24" s="46">
        <v>6</v>
      </c>
      <c r="AC24" s="49">
        <v>0</v>
      </c>
      <c r="AD24" s="49">
        <v>10</v>
      </c>
      <c r="AE24" s="49">
        <v>8.8000000000000007</v>
      </c>
      <c r="AF24" s="49">
        <v>8.1</v>
      </c>
      <c r="AG24" s="47">
        <v>0</v>
      </c>
      <c r="AH24" s="47">
        <v>0</v>
      </c>
      <c r="AI24" s="47">
        <v>0</v>
      </c>
      <c r="AJ24" s="47">
        <v>0</v>
      </c>
      <c r="AK24" s="48">
        <v>0</v>
      </c>
      <c r="AL24" s="48">
        <v>0</v>
      </c>
      <c r="AM24" s="48">
        <v>0</v>
      </c>
      <c r="AN24" s="48">
        <v>0</v>
      </c>
      <c r="AO24" s="49">
        <v>0</v>
      </c>
      <c r="AP24" s="49">
        <v>0</v>
      </c>
      <c r="AQ24" s="49">
        <v>0</v>
      </c>
      <c r="AR24" s="49">
        <v>0</v>
      </c>
      <c r="AS24" s="46">
        <v>0</v>
      </c>
      <c r="AT24" s="46">
        <v>10</v>
      </c>
      <c r="AU24" s="46">
        <v>9.5</v>
      </c>
      <c r="AV24" s="46">
        <v>9</v>
      </c>
      <c r="AW24" s="50" t="s">
        <v>135</v>
      </c>
      <c r="AX24" s="51">
        <v>11</v>
      </c>
      <c r="AY24" s="51">
        <v>8.09</v>
      </c>
      <c r="AZ24" s="51">
        <v>7.7</v>
      </c>
      <c r="BA24" s="52">
        <v>0</v>
      </c>
      <c r="BB24" s="53">
        <v>0</v>
      </c>
      <c r="BC24" s="53">
        <v>0</v>
      </c>
      <c r="BD24" s="53">
        <v>0</v>
      </c>
      <c r="BE24" s="54">
        <v>0</v>
      </c>
      <c r="BF24" s="55">
        <v>0</v>
      </c>
      <c r="BG24" s="55">
        <v>0</v>
      </c>
      <c r="BH24" s="55">
        <v>0</v>
      </c>
      <c r="BI24" s="56">
        <v>0</v>
      </c>
      <c r="BJ24" s="57">
        <v>10</v>
      </c>
      <c r="BK24" s="57">
        <v>8.5</v>
      </c>
      <c r="BL24" s="57">
        <v>7.5</v>
      </c>
    </row>
    <row r="25" spans="1:64" ht="24.95" customHeight="1" x14ac:dyDescent="0.25">
      <c r="A25" s="35">
        <v>19</v>
      </c>
      <c r="B25" s="5" t="s">
        <v>54</v>
      </c>
      <c r="C25" s="4">
        <v>10</v>
      </c>
      <c r="D25" s="6">
        <v>15</v>
      </c>
      <c r="E25" s="6">
        <v>13</v>
      </c>
      <c r="F25" s="6">
        <v>12.25</v>
      </c>
      <c r="G25" s="6">
        <v>11.136363636363637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6">
        <v>0</v>
      </c>
      <c r="N25" s="46">
        <v>0</v>
      </c>
      <c r="O25" s="46">
        <v>0</v>
      </c>
      <c r="P25" s="46">
        <v>0</v>
      </c>
      <c r="Q25" s="47">
        <v>0</v>
      </c>
      <c r="R25" s="47">
        <v>0</v>
      </c>
      <c r="S25" s="47">
        <v>0</v>
      </c>
      <c r="T25" s="47">
        <v>0</v>
      </c>
      <c r="U25" s="48">
        <v>0</v>
      </c>
      <c r="V25" s="48">
        <v>0</v>
      </c>
      <c r="W25" s="48">
        <v>0</v>
      </c>
      <c r="X25" s="48">
        <v>0</v>
      </c>
      <c r="Y25" s="46">
        <v>0</v>
      </c>
      <c r="Z25" s="46">
        <v>0</v>
      </c>
      <c r="AA25" s="46">
        <v>0</v>
      </c>
      <c r="AB25" s="46">
        <v>0</v>
      </c>
      <c r="AC25" s="49">
        <v>0</v>
      </c>
      <c r="AD25" s="49">
        <v>0</v>
      </c>
      <c r="AE25" s="49">
        <v>0</v>
      </c>
      <c r="AF25" s="49">
        <v>0</v>
      </c>
      <c r="AG25" s="47">
        <v>0</v>
      </c>
      <c r="AH25" s="47">
        <v>0</v>
      </c>
      <c r="AI25" s="47">
        <v>0</v>
      </c>
      <c r="AJ25" s="47">
        <v>0</v>
      </c>
      <c r="AK25" s="48">
        <v>0</v>
      </c>
      <c r="AL25" s="48">
        <v>0</v>
      </c>
      <c r="AM25" s="48">
        <v>0</v>
      </c>
      <c r="AN25" s="48">
        <v>0</v>
      </c>
      <c r="AO25" s="49">
        <v>0</v>
      </c>
      <c r="AP25" s="49">
        <v>0</v>
      </c>
      <c r="AQ25" s="49">
        <v>0</v>
      </c>
      <c r="AR25" s="49">
        <v>0</v>
      </c>
      <c r="AS25" s="46">
        <v>0</v>
      </c>
      <c r="AT25" s="46">
        <v>0</v>
      </c>
      <c r="AU25" s="46">
        <v>0</v>
      </c>
      <c r="AV25" s="46">
        <v>0</v>
      </c>
      <c r="AW25" s="50">
        <v>0</v>
      </c>
      <c r="AX25" s="51">
        <v>0</v>
      </c>
      <c r="AY25" s="51">
        <v>0</v>
      </c>
      <c r="AZ25" s="51">
        <v>0</v>
      </c>
      <c r="BA25" s="52">
        <v>0</v>
      </c>
      <c r="BB25" s="53">
        <v>0</v>
      </c>
      <c r="BC25" s="53">
        <v>0</v>
      </c>
      <c r="BD25" s="53">
        <v>0</v>
      </c>
      <c r="BE25" s="54">
        <v>0</v>
      </c>
      <c r="BF25" s="55">
        <v>0</v>
      </c>
      <c r="BG25" s="55">
        <v>0</v>
      </c>
      <c r="BH25" s="55">
        <v>0</v>
      </c>
      <c r="BI25" s="56">
        <v>0</v>
      </c>
      <c r="BJ25" s="57">
        <v>0</v>
      </c>
      <c r="BK25" s="57">
        <v>0</v>
      </c>
      <c r="BL25" s="57">
        <v>0</v>
      </c>
    </row>
    <row r="26" spans="1:64" ht="24.95" customHeight="1" x14ac:dyDescent="0.25">
      <c r="A26" s="35">
        <f t="shared" si="0"/>
        <v>20</v>
      </c>
      <c r="B26" s="5" t="s">
        <v>59</v>
      </c>
      <c r="C26" s="4">
        <v>1</v>
      </c>
      <c r="D26" s="6">
        <v>110</v>
      </c>
      <c r="E26" s="6">
        <v>95.699999999999989</v>
      </c>
      <c r="F26" s="6">
        <v>88</v>
      </c>
      <c r="G26" s="6">
        <v>88</v>
      </c>
      <c r="H26" s="45">
        <v>0</v>
      </c>
      <c r="I26" s="45">
        <v>100</v>
      </c>
      <c r="J26" s="45">
        <v>86.96</v>
      </c>
      <c r="K26" s="45">
        <v>79.05</v>
      </c>
      <c r="L26" s="45">
        <f t="shared" si="1"/>
        <v>8.9500000000000028</v>
      </c>
      <c r="M26" s="46">
        <v>0</v>
      </c>
      <c r="N26" s="46">
        <v>0</v>
      </c>
      <c r="O26" s="46">
        <v>0</v>
      </c>
      <c r="P26" s="46">
        <v>0</v>
      </c>
      <c r="Q26" s="47">
        <v>0</v>
      </c>
      <c r="R26" s="47">
        <v>0</v>
      </c>
      <c r="S26" s="47">
        <v>0</v>
      </c>
      <c r="T26" s="47">
        <v>0</v>
      </c>
      <c r="U26" s="48">
        <v>0</v>
      </c>
      <c r="V26" s="48">
        <v>0</v>
      </c>
      <c r="W26" s="48">
        <v>0</v>
      </c>
      <c r="X26" s="48">
        <v>0</v>
      </c>
      <c r="Y26" s="46">
        <v>0</v>
      </c>
      <c r="Z26" s="46">
        <v>0</v>
      </c>
      <c r="AA26" s="46">
        <v>0</v>
      </c>
      <c r="AB26" s="46">
        <v>0</v>
      </c>
      <c r="AC26" s="49">
        <v>0</v>
      </c>
      <c r="AD26" s="49">
        <v>130</v>
      </c>
      <c r="AE26" s="49">
        <v>119</v>
      </c>
      <c r="AF26" s="49">
        <v>117</v>
      </c>
      <c r="AG26" s="47">
        <v>0</v>
      </c>
      <c r="AH26" s="47">
        <v>0</v>
      </c>
      <c r="AI26" s="47">
        <v>0</v>
      </c>
      <c r="AJ26" s="47">
        <v>0</v>
      </c>
      <c r="AK26" s="48">
        <v>0</v>
      </c>
      <c r="AL26" s="48">
        <v>0</v>
      </c>
      <c r="AM26" s="48">
        <v>0</v>
      </c>
      <c r="AN26" s="48">
        <v>0</v>
      </c>
      <c r="AO26" s="49">
        <v>0</v>
      </c>
      <c r="AP26" s="49">
        <v>0</v>
      </c>
      <c r="AQ26" s="49">
        <v>0</v>
      </c>
      <c r="AR26" s="49">
        <v>0</v>
      </c>
      <c r="AS26" s="46">
        <v>0</v>
      </c>
      <c r="AT26" s="46">
        <v>0</v>
      </c>
      <c r="AU26" s="46">
        <v>0</v>
      </c>
      <c r="AV26" s="46">
        <v>0</v>
      </c>
      <c r="AW26" s="50">
        <v>0</v>
      </c>
      <c r="AX26" s="51">
        <v>0</v>
      </c>
      <c r="AY26" s="51">
        <v>0</v>
      </c>
      <c r="AZ26" s="51">
        <v>0</v>
      </c>
      <c r="BA26" s="52" t="s">
        <v>129</v>
      </c>
      <c r="BB26" s="53">
        <v>100</v>
      </c>
      <c r="BC26" s="53">
        <v>86.56</v>
      </c>
      <c r="BD26" s="53">
        <v>82.43</v>
      </c>
      <c r="BE26" s="54">
        <v>0</v>
      </c>
      <c r="BF26" s="55">
        <v>0</v>
      </c>
      <c r="BG26" s="55">
        <v>0</v>
      </c>
      <c r="BH26" s="55">
        <v>0</v>
      </c>
      <c r="BI26" s="56">
        <v>0</v>
      </c>
      <c r="BJ26" s="57">
        <v>0</v>
      </c>
      <c r="BK26" s="57">
        <v>0</v>
      </c>
      <c r="BL26" s="57">
        <v>0</v>
      </c>
    </row>
    <row r="27" spans="1:64" ht="24.95" customHeight="1" x14ac:dyDescent="0.25">
      <c r="A27" s="35">
        <f t="shared" si="0"/>
        <v>21</v>
      </c>
      <c r="B27" s="5" t="s">
        <v>60</v>
      </c>
      <c r="C27" s="4">
        <v>1</v>
      </c>
      <c r="D27" s="6">
        <v>120</v>
      </c>
      <c r="E27" s="6">
        <v>104.4</v>
      </c>
      <c r="F27" s="6">
        <v>96</v>
      </c>
      <c r="G27" s="6">
        <v>96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6">
        <v>0</v>
      </c>
      <c r="N27" s="46">
        <v>0</v>
      </c>
      <c r="O27" s="46">
        <v>0</v>
      </c>
      <c r="P27" s="46">
        <v>0</v>
      </c>
      <c r="Q27" s="47">
        <v>0</v>
      </c>
      <c r="R27" s="47">
        <v>0</v>
      </c>
      <c r="S27" s="47">
        <v>0</v>
      </c>
      <c r="T27" s="47">
        <v>0</v>
      </c>
      <c r="U27" s="48">
        <v>0</v>
      </c>
      <c r="V27" s="48">
        <v>0</v>
      </c>
      <c r="W27" s="48">
        <v>0</v>
      </c>
      <c r="X27" s="48">
        <v>0</v>
      </c>
      <c r="Y27" s="46">
        <v>0</v>
      </c>
      <c r="Z27" s="46">
        <v>0</v>
      </c>
      <c r="AA27" s="46">
        <v>0</v>
      </c>
      <c r="AB27" s="46">
        <v>0</v>
      </c>
      <c r="AC27" s="49">
        <v>0</v>
      </c>
      <c r="AD27" s="49">
        <v>0</v>
      </c>
      <c r="AE27" s="49">
        <v>0</v>
      </c>
      <c r="AF27" s="49">
        <v>0</v>
      </c>
      <c r="AG27" s="47">
        <v>0</v>
      </c>
      <c r="AH27" s="47">
        <v>0</v>
      </c>
      <c r="AI27" s="47">
        <v>0</v>
      </c>
      <c r="AJ27" s="47">
        <v>0</v>
      </c>
      <c r="AK27" s="48">
        <v>0</v>
      </c>
      <c r="AL27" s="48">
        <v>0</v>
      </c>
      <c r="AM27" s="48">
        <v>0</v>
      </c>
      <c r="AN27" s="48">
        <v>0</v>
      </c>
      <c r="AO27" s="49">
        <v>0</v>
      </c>
      <c r="AP27" s="49">
        <v>0</v>
      </c>
      <c r="AQ27" s="49">
        <v>0</v>
      </c>
      <c r="AR27" s="49">
        <v>0</v>
      </c>
      <c r="AS27" s="46">
        <v>0</v>
      </c>
      <c r="AT27" s="46">
        <v>0</v>
      </c>
      <c r="AU27" s="46">
        <v>0</v>
      </c>
      <c r="AV27" s="46">
        <v>0</v>
      </c>
      <c r="AW27" s="50">
        <v>0</v>
      </c>
      <c r="AX27" s="51">
        <v>0</v>
      </c>
      <c r="AY27" s="51">
        <v>0</v>
      </c>
      <c r="AZ27" s="51">
        <v>0</v>
      </c>
      <c r="BA27" s="52">
        <v>0</v>
      </c>
      <c r="BB27" s="53">
        <v>0</v>
      </c>
      <c r="BC27" s="53">
        <v>0</v>
      </c>
      <c r="BD27" s="53">
        <v>0</v>
      </c>
      <c r="BE27" s="54">
        <v>0</v>
      </c>
      <c r="BF27" s="55">
        <v>0</v>
      </c>
      <c r="BG27" s="55">
        <v>0</v>
      </c>
      <c r="BH27" s="55">
        <v>0</v>
      </c>
      <c r="BI27" s="56">
        <v>0</v>
      </c>
      <c r="BJ27" s="57">
        <v>0</v>
      </c>
      <c r="BK27" s="57">
        <v>0</v>
      </c>
      <c r="BL27" s="57">
        <v>0</v>
      </c>
    </row>
    <row r="28" spans="1:64" ht="24.95" customHeight="1" x14ac:dyDescent="0.25">
      <c r="A28" s="35">
        <f t="shared" si="0"/>
        <v>22</v>
      </c>
      <c r="B28" s="5" t="s">
        <v>57</v>
      </c>
      <c r="C28" s="4">
        <v>6</v>
      </c>
      <c r="D28" s="6">
        <v>40</v>
      </c>
      <c r="E28" s="6">
        <v>35</v>
      </c>
      <c r="F28" s="6">
        <v>32</v>
      </c>
      <c r="G28" s="6">
        <v>26.666666666666668</v>
      </c>
      <c r="H28" s="45">
        <v>0</v>
      </c>
      <c r="I28" s="45">
        <v>35</v>
      </c>
      <c r="J28" s="45">
        <v>28.7</v>
      </c>
      <c r="K28" s="45">
        <v>26.6</v>
      </c>
      <c r="L28" s="45">
        <f t="shared" si="1"/>
        <v>6.666666666666643E-2</v>
      </c>
      <c r="M28" s="46">
        <v>0</v>
      </c>
      <c r="N28" s="46">
        <v>0</v>
      </c>
      <c r="O28" s="46">
        <v>0</v>
      </c>
      <c r="P28" s="46">
        <v>0</v>
      </c>
      <c r="Q28" s="47">
        <v>0</v>
      </c>
      <c r="R28" s="47">
        <v>0</v>
      </c>
      <c r="S28" s="47">
        <v>0</v>
      </c>
      <c r="T28" s="47">
        <v>0</v>
      </c>
      <c r="U28" s="48">
        <v>0</v>
      </c>
      <c r="V28" s="48">
        <v>0</v>
      </c>
      <c r="W28" s="48">
        <v>0</v>
      </c>
      <c r="X28" s="48">
        <v>0</v>
      </c>
      <c r="Y28" s="46">
        <v>0</v>
      </c>
      <c r="Z28" s="46">
        <v>30</v>
      </c>
      <c r="AA28" s="46">
        <v>0</v>
      </c>
      <c r="AB28" s="46">
        <v>22</v>
      </c>
      <c r="AC28" s="49">
        <v>0</v>
      </c>
      <c r="AD28" s="49">
        <v>0</v>
      </c>
      <c r="AE28" s="49">
        <v>0</v>
      </c>
      <c r="AF28" s="49">
        <v>0</v>
      </c>
      <c r="AG28" s="47">
        <v>0</v>
      </c>
      <c r="AH28" s="47">
        <v>0</v>
      </c>
      <c r="AI28" s="47">
        <v>0</v>
      </c>
      <c r="AJ28" s="47">
        <v>0</v>
      </c>
      <c r="AK28" s="48">
        <v>0</v>
      </c>
      <c r="AL28" s="48">
        <v>0</v>
      </c>
      <c r="AM28" s="48">
        <v>0</v>
      </c>
      <c r="AN28" s="48">
        <v>0</v>
      </c>
      <c r="AO28" s="49">
        <v>0</v>
      </c>
      <c r="AP28" s="49">
        <v>0</v>
      </c>
      <c r="AQ28" s="49">
        <v>0</v>
      </c>
      <c r="AR28" s="49">
        <v>0</v>
      </c>
      <c r="AS28" s="46">
        <v>0</v>
      </c>
      <c r="AT28" s="46">
        <v>0</v>
      </c>
      <c r="AU28" s="46">
        <v>0</v>
      </c>
      <c r="AV28" s="46">
        <v>0</v>
      </c>
      <c r="AW28" s="50">
        <v>0</v>
      </c>
      <c r="AX28" s="51">
        <v>0</v>
      </c>
      <c r="AY28" s="51">
        <v>0</v>
      </c>
      <c r="AZ28" s="51">
        <v>0</v>
      </c>
      <c r="BA28" s="52">
        <v>0</v>
      </c>
      <c r="BB28" s="53">
        <v>0</v>
      </c>
      <c r="BC28" s="53">
        <v>0</v>
      </c>
      <c r="BD28" s="53">
        <v>0</v>
      </c>
      <c r="BE28" s="54">
        <v>0</v>
      </c>
      <c r="BF28" s="55">
        <v>0</v>
      </c>
      <c r="BG28" s="55">
        <v>0</v>
      </c>
      <c r="BH28" s="55">
        <v>0</v>
      </c>
      <c r="BI28" s="56">
        <v>0</v>
      </c>
      <c r="BJ28" s="57">
        <v>0</v>
      </c>
      <c r="BK28" s="57">
        <v>0</v>
      </c>
      <c r="BL28" s="57">
        <v>0</v>
      </c>
    </row>
    <row r="29" spans="1:64" ht="24.95" customHeight="1" x14ac:dyDescent="0.25">
      <c r="A29" s="35">
        <f t="shared" si="0"/>
        <v>23</v>
      </c>
      <c r="B29" s="5" t="s">
        <v>55</v>
      </c>
      <c r="C29" s="4">
        <v>12</v>
      </c>
      <c r="D29" s="6">
        <v>40</v>
      </c>
      <c r="E29" s="6">
        <v>35</v>
      </c>
      <c r="F29" s="6">
        <v>32</v>
      </c>
      <c r="G29" s="6">
        <v>26.666666666666668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6">
        <v>0</v>
      </c>
      <c r="N29" s="46">
        <v>0</v>
      </c>
      <c r="O29" s="46">
        <v>0</v>
      </c>
      <c r="P29" s="46">
        <v>0</v>
      </c>
      <c r="Q29" s="47">
        <v>0</v>
      </c>
      <c r="R29" s="47">
        <v>0</v>
      </c>
      <c r="S29" s="47">
        <v>0</v>
      </c>
      <c r="T29" s="47">
        <v>0</v>
      </c>
      <c r="U29" s="48">
        <v>0</v>
      </c>
      <c r="V29" s="48">
        <v>0</v>
      </c>
      <c r="W29" s="48">
        <v>0</v>
      </c>
      <c r="X29" s="48">
        <v>0</v>
      </c>
      <c r="Y29" s="46"/>
      <c r="Z29" s="46"/>
      <c r="AA29" s="46"/>
      <c r="AB29" s="46"/>
      <c r="AC29" s="49"/>
      <c r="AD29" s="49"/>
      <c r="AE29" s="49"/>
      <c r="AF29" s="49"/>
      <c r="AG29" s="47"/>
      <c r="AH29" s="47"/>
      <c r="AI29" s="47"/>
      <c r="AJ29" s="47"/>
      <c r="AK29" s="48"/>
      <c r="AL29" s="48"/>
      <c r="AM29" s="48"/>
      <c r="AN29" s="48"/>
      <c r="AO29" s="49"/>
      <c r="AP29" s="49"/>
      <c r="AQ29" s="49"/>
      <c r="AR29" s="49"/>
      <c r="AS29" s="46"/>
      <c r="AT29" s="46"/>
      <c r="AU29" s="46"/>
      <c r="AV29" s="46"/>
      <c r="AW29" s="50"/>
      <c r="AX29" s="51"/>
      <c r="AY29" s="51"/>
      <c r="AZ29" s="51"/>
      <c r="BA29" s="52"/>
      <c r="BB29" s="53"/>
      <c r="BC29" s="53"/>
      <c r="BD29" s="53"/>
      <c r="BE29" s="54"/>
      <c r="BF29" s="55"/>
      <c r="BG29" s="55"/>
      <c r="BH29" s="55"/>
      <c r="BI29" s="56"/>
      <c r="BJ29" s="57"/>
      <c r="BK29" s="57"/>
      <c r="BL29" s="57"/>
    </row>
    <row r="30" spans="1:64" ht="24.95" customHeight="1" x14ac:dyDescent="0.25">
      <c r="A30" s="35">
        <f t="shared" si="0"/>
        <v>24</v>
      </c>
      <c r="B30" s="5" t="s">
        <v>63</v>
      </c>
      <c r="C30" s="4">
        <v>5</v>
      </c>
      <c r="D30" s="6">
        <v>90</v>
      </c>
      <c r="E30" s="6">
        <v>80</v>
      </c>
      <c r="F30" s="6">
        <v>75</v>
      </c>
      <c r="G30" s="6">
        <v>70</v>
      </c>
      <c r="H30" s="45">
        <v>0</v>
      </c>
      <c r="I30" s="45">
        <v>85</v>
      </c>
      <c r="J30" s="45">
        <v>76.16</v>
      </c>
      <c r="K30" s="45">
        <v>73.36</v>
      </c>
      <c r="L30" s="45">
        <f t="shared" si="1"/>
        <v>-3.3599999999999994</v>
      </c>
      <c r="M30" s="46">
        <v>0</v>
      </c>
      <c r="N30" s="46">
        <v>91</v>
      </c>
      <c r="O30" s="46">
        <v>76.62</v>
      </c>
      <c r="P30" s="46">
        <v>73.709999999999994</v>
      </c>
      <c r="Q30" s="47">
        <v>0</v>
      </c>
      <c r="R30" s="47">
        <v>85</v>
      </c>
      <c r="S30" s="47">
        <v>75</v>
      </c>
      <c r="T30" s="47">
        <v>69.650000000000006</v>
      </c>
      <c r="U30" s="48">
        <v>0</v>
      </c>
      <c r="V30" s="48">
        <v>0</v>
      </c>
      <c r="W30" s="48">
        <v>0</v>
      </c>
      <c r="X30" s="48">
        <v>0</v>
      </c>
      <c r="Y30" s="46">
        <v>0</v>
      </c>
      <c r="Z30" s="46">
        <v>85</v>
      </c>
      <c r="AA30" s="46">
        <v>0</v>
      </c>
      <c r="AB30" s="46">
        <v>68</v>
      </c>
      <c r="AC30" s="49">
        <v>0</v>
      </c>
      <c r="AD30" s="49">
        <v>90</v>
      </c>
      <c r="AE30" s="49">
        <v>82</v>
      </c>
      <c r="AF30" s="49">
        <v>79</v>
      </c>
      <c r="AG30" s="47">
        <v>0</v>
      </c>
      <c r="AH30" s="47">
        <v>0</v>
      </c>
      <c r="AI30" s="47">
        <v>0</v>
      </c>
      <c r="AJ30" s="47">
        <v>0</v>
      </c>
      <c r="AK30" s="48">
        <v>0</v>
      </c>
      <c r="AL30" s="48">
        <v>0</v>
      </c>
      <c r="AM30" s="48">
        <v>0</v>
      </c>
      <c r="AN30" s="48">
        <v>0</v>
      </c>
      <c r="AO30" s="49">
        <v>0</v>
      </c>
      <c r="AP30" s="49">
        <v>0</v>
      </c>
      <c r="AQ30" s="49">
        <v>0</v>
      </c>
      <c r="AR30" s="49">
        <v>0</v>
      </c>
      <c r="AS30" s="46">
        <v>0</v>
      </c>
      <c r="AT30" s="46">
        <v>0</v>
      </c>
      <c r="AU30" s="46">
        <v>0</v>
      </c>
      <c r="AV30" s="46">
        <v>0</v>
      </c>
      <c r="AW30" s="50" t="s">
        <v>129</v>
      </c>
      <c r="AX30" s="51">
        <v>83</v>
      </c>
      <c r="AY30" s="51">
        <v>75.16</v>
      </c>
      <c r="AZ30" s="51">
        <v>72.7</v>
      </c>
      <c r="BA30" s="52" t="s">
        <v>129</v>
      </c>
      <c r="BB30" s="53">
        <v>80</v>
      </c>
      <c r="BC30" s="53">
        <v>72.400000000000006</v>
      </c>
      <c r="BD30" s="53">
        <v>68.599999999999994</v>
      </c>
      <c r="BE30" s="54" t="s">
        <v>129</v>
      </c>
      <c r="BF30" s="55">
        <v>90</v>
      </c>
      <c r="BG30" s="55">
        <v>68.3</v>
      </c>
      <c r="BH30" s="55">
        <v>62.4</v>
      </c>
      <c r="BI30" s="56" t="s">
        <v>129</v>
      </c>
      <c r="BJ30" s="57">
        <v>75</v>
      </c>
      <c r="BK30" s="57">
        <v>67.7</v>
      </c>
      <c r="BL30" s="57">
        <v>64.5</v>
      </c>
    </row>
    <row r="31" spans="1:64" ht="24.95" customHeight="1" x14ac:dyDescent="0.25">
      <c r="A31" s="35">
        <f t="shared" si="0"/>
        <v>25</v>
      </c>
      <c r="B31" s="5" t="s">
        <v>66</v>
      </c>
      <c r="C31" s="4">
        <v>1</v>
      </c>
      <c r="D31" s="6">
        <v>200</v>
      </c>
      <c r="E31" s="6">
        <v>180</v>
      </c>
      <c r="F31" s="6">
        <v>170</v>
      </c>
      <c r="G31" s="6">
        <v>170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6">
        <v>0</v>
      </c>
      <c r="N31" s="46">
        <v>0</v>
      </c>
      <c r="O31" s="46">
        <v>0</v>
      </c>
      <c r="P31" s="46">
        <v>0</v>
      </c>
      <c r="Q31" s="47">
        <v>0</v>
      </c>
      <c r="R31" s="47">
        <v>0</v>
      </c>
      <c r="S31" s="47">
        <v>0</v>
      </c>
      <c r="T31" s="47">
        <v>0</v>
      </c>
      <c r="U31" s="48">
        <v>0</v>
      </c>
      <c r="V31" s="48">
        <v>0</v>
      </c>
      <c r="W31" s="48">
        <v>0</v>
      </c>
      <c r="X31" s="48">
        <v>0</v>
      </c>
      <c r="Y31" s="46">
        <v>0</v>
      </c>
      <c r="Z31" s="46">
        <v>0</v>
      </c>
      <c r="AA31" s="46">
        <v>0</v>
      </c>
      <c r="AB31" s="46">
        <v>0</v>
      </c>
      <c r="AC31" s="49">
        <v>0</v>
      </c>
      <c r="AD31" s="49">
        <v>0</v>
      </c>
      <c r="AE31" s="49">
        <v>0</v>
      </c>
      <c r="AF31" s="49">
        <v>0</v>
      </c>
      <c r="AG31" s="47">
        <v>0</v>
      </c>
      <c r="AH31" s="47">
        <v>0</v>
      </c>
      <c r="AI31" s="47">
        <v>0</v>
      </c>
      <c r="AJ31" s="47">
        <v>0</v>
      </c>
      <c r="AK31" s="48">
        <v>0</v>
      </c>
      <c r="AL31" s="48">
        <v>0</v>
      </c>
      <c r="AM31" s="48">
        <v>0</v>
      </c>
      <c r="AN31" s="48">
        <v>0</v>
      </c>
      <c r="AO31" s="49">
        <v>0</v>
      </c>
      <c r="AP31" s="49">
        <v>0</v>
      </c>
      <c r="AQ31" s="49">
        <v>0</v>
      </c>
      <c r="AR31" s="49">
        <v>0</v>
      </c>
      <c r="AS31" s="46">
        <v>0</v>
      </c>
      <c r="AT31" s="46">
        <v>0</v>
      </c>
      <c r="AU31" s="46">
        <v>0</v>
      </c>
      <c r="AV31" s="46">
        <v>0</v>
      </c>
      <c r="AW31" s="50" t="s">
        <v>140</v>
      </c>
      <c r="AX31" s="51">
        <v>205</v>
      </c>
      <c r="AY31" s="51">
        <v>186.89</v>
      </c>
      <c r="AZ31" s="51">
        <v>179.42</v>
      </c>
      <c r="BA31" s="52" t="s">
        <v>140</v>
      </c>
      <c r="BB31" s="53">
        <v>190</v>
      </c>
      <c r="BC31" s="53">
        <v>176.94</v>
      </c>
      <c r="BD31" s="53">
        <v>170.93</v>
      </c>
      <c r="BE31" s="54" t="s">
        <v>140</v>
      </c>
      <c r="BF31" s="55">
        <v>200</v>
      </c>
      <c r="BG31" s="55">
        <v>181</v>
      </c>
      <c r="BH31" s="55">
        <v>156</v>
      </c>
      <c r="BI31" s="56" t="s">
        <v>140</v>
      </c>
      <c r="BJ31" s="57">
        <v>180</v>
      </c>
      <c r="BK31" s="57">
        <v>168</v>
      </c>
      <c r="BL31" s="57">
        <v>162.5</v>
      </c>
    </row>
    <row r="32" spans="1:64" ht="24.95" customHeight="1" x14ac:dyDescent="0.25">
      <c r="A32" s="35">
        <f t="shared" si="0"/>
        <v>26</v>
      </c>
      <c r="B32" s="5" t="s">
        <v>67</v>
      </c>
      <c r="C32" s="4">
        <v>1</v>
      </c>
      <c r="D32" s="6">
        <v>390</v>
      </c>
      <c r="E32" s="6">
        <v>340</v>
      </c>
      <c r="F32" s="6">
        <v>330</v>
      </c>
      <c r="G32" s="6">
        <v>330</v>
      </c>
      <c r="H32" s="45">
        <v>0</v>
      </c>
      <c r="I32" s="45">
        <v>395</v>
      </c>
      <c r="J32" s="45">
        <v>350</v>
      </c>
      <c r="K32" s="45">
        <v>340</v>
      </c>
      <c r="L32" s="45">
        <f>F32-K32</f>
        <v>-10</v>
      </c>
      <c r="M32" s="46">
        <v>0</v>
      </c>
      <c r="N32" s="46">
        <v>415</v>
      </c>
      <c r="O32" s="46">
        <v>370.18</v>
      </c>
      <c r="P32" s="46">
        <v>356.1</v>
      </c>
      <c r="Q32" s="47">
        <v>0</v>
      </c>
      <c r="R32" s="47">
        <v>380</v>
      </c>
      <c r="S32" s="47">
        <v>359</v>
      </c>
      <c r="T32" s="47">
        <v>341.7</v>
      </c>
      <c r="U32" s="48">
        <v>0</v>
      </c>
      <c r="V32" s="48">
        <v>0</v>
      </c>
      <c r="W32" s="48">
        <v>0</v>
      </c>
      <c r="X32" s="48">
        <v>0</v>
      </c>
      <c r="Y32" s="46">
        <v>0</v>
      </c>
      <c r="Z32" s="46">
        <v>390</v>
      </c>
      <c r="AA32" s="46">
        <v>0</v>
      </c>
      <c r="AB32" s="46">
        <v>250</v>
      </c>
      <c r="AC32" s="49">
        <v>0</v>
      </c>
      <c r="AD32" s="49">
        <v>346</v>
      </c>
      <c r="AE32" s="49">
        <v>350</v>
      </c>
      <c r="AF32" s="49">
        <v>395</v>
      </c>
      <c r="AG32" s="47">
        <v>0</v>
      </c>
      <c r="AH32" s="47">
        <v>0</v>
      </c>
      <c r="AI32" s="47">
        <v>0</v>
      </c>
      <c r="AJ32" s="47">
        <v>0</v>
      </c>
      <c r="AK32" s="48">
        <v>0</v>
      </c>
      <c r="AL32" s="48">
        <v>0</v>
      </c>
      <c r="AM32" s="48">
        <v>0</v>
      </c>
      <c r="AN32" s="48">
        <v>0</v>
      </c>
      <c r="AO32" s="49">
        <v>0</v>
      </c>
      <c r="AP32" s="49">
        <v>0</v>
      </c>
      <c r="AQ32" s="49">
        <v>0</v>
      </c>
      <c r="AR32" s="49">
        <v>0</v>
      </c>
      <c r="AS32" s="46">
        <v>0</v>
      </c>
      <c r="AT32" s="46">
        <v>0</v>
      </c>
      <c r="AU32" s="46">
        <v>0</v>
      </c>
      <c r="AV32" s="46">
        <v>0</v>
      </c>
      <c r="AW32" s="50" t="s">
        <v>131</v>
      </c>
      <c r="AX32" s="51">
        <v>400</v>
      </c>
      <c r="AY32" s="51">
        <v>360.34</v>
      </c>
      <c r="AZ32" s="51">
        <v>339.38</v>
      </c>
      <c r="BA32" s="52" t="s">
        <v>131</v>
      </c>
      <c r="BB32" s="53">
        <v>360</v>
      </c>
      <c r="BC32" s="53">
        <v>347.83</v>
      </c>
      <c r="BD32" s="53">
        <v>342.69</v>
      </c>
      <c r="BE32" s="54" t="s">
        <v>131</v>
      </c>
      <c r="BF32" s="55">
        <v>400</v>
      </c>
      <c r="BG32" s="55">
        <v>342.1</v>
      </c>
      <c r="BH32" s="55">
        <v>306.8</v>
      </c>
      <c r="BI32" s="56">
        <v>0</v>
      </c>
      <c r="BJ32" s="57">
        <v>0</v>
      </c>
      <c r="BK32" s="57">
        <v>0</v>
      </c>
      <c r="BL32" s="57">
        <v>0</v>
      </c>
    </row>
    <row r="33" spans="1:64" ht="24.95" customHeight="1" x14ac:dyDescent="0.25">
      <c r="A33" s="35">
        <f>A32+1</f>
        <v>27</v>
      </c>
      <c r="B33" s="5" t="s">
        <v>61</v>
      </c>
      <c r="C33" s="4">
        <v>1</v>
      </c>
      <c r="D33" s="6">
        <v>395</v>
      </c>
      <c r="E33" s="6">
        <v>355</v>
      </c>
      <c r="F33" s="6">
        <v>340</v>
      </c>
      <c r="G33" s="6">
        <v>340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6">
        <v>0</v>
      </c>
      <c r="N33" s="46">
        <v>0</v>
      </c>
      <c r="O33" s="46">
        <v>0</v>
      </c>
      <c r="P33" s="46">
        <v>0</v>
      </c>
      <c r="Q33" s="47">
        <v>0</v>
      </c>
      <c r="R33" s="47">
        <v>0</v>
      </c>
      <c r="S33" s="47">
        <v>0</v>
      </c>
      <c r="T33" s="47">
        <v>0</v>
      </c>
      <c r="U33" s="48">
        <v>0</v>
      </c>
      <c r="V33" s="48">
        <v>0</v>
      </c>
      <c r="W33" s="48">
        <v>0</v>
      </c>
      <c r="X33" s="48">
        <v>0</v>
      </c>
      <c r="Y33" s="46">
        <v>0</v>
      </c>
      <c r="Z33" s="46">
        <v>405</v>
      </c>
      <c r="AA33" s="46">
        <v>0</v>
      </c>
      <c r="AB33" s="46">
        <v>280</v>
      </c>
      <c r="AC33" s="49">
        <v>0</v>
      </c>
      <c r="AD33" s="49">
        <v>0</v>
      </c>
      <c r="AE33" s="49">
        <v>0</v>
      </c>
      <c r="AF33" s="49">
        <v>0</v>
      </c>
      <c r="AG33" s="47">
        <v>0</v>
      </c>
      <c r="AH33" s="47">
        <v>0</v>
      </c>
      <c r="AI33" s="47">
        <v>0</v>
      </c>
      <c r="AJ33" s="47">
        <v>0</v>
      </c>
      <c r="AK33" s="48">
        <v>0</v>
      </c>
      <c r="AL33" s="48">
        <v>0</v>
      </c>
      <c r="AM33" s="48">
        <v>0</v>
      </c>
      <c r="AN33" s="48">
        <v>0</v>
      </c>
      <c r="AO33" s="49">
        <v>0</v>
      </c>
      <c r="AP33" s="49">
        <v>0</v>
      </c>
      <c r="AQ33" s="49">
        <v>0</v>
      </c>
      <c r="AR33" s="49">
        <v>0</v>
      </c>
      <c r="AS33" s="46">
        <v>0</v>
      </c>
      <c r="AT33" s="46">
        <v>0</v>
      </c>
      <c r="AU33" s="46">
        <v>0</v>
      </c>
      <c r="AV33" s="46">
        <v>0</v>
      </c>
      <c r="AW33" s="50">
        <v>0</v>
      </c>
      <c r="AX33" s="51">
        <v>0</v>
      </c>
      <c r="AY33" s="51">
        <v>0</v>
      </c>
      <c r="AZ33" s="51">
        <v>0</v>
      </c>
      <c r="BA33" s="52" t="s">
        <v>131</v>
      </c>
      <c r="BB33" s="53">
        <v>450</v>
      </c>
      <c r="BC33" s="53">
        <v>388.7</v>
      </c>
      <c r="BD33" s="53">
        <v>369.32</v>
      </c>
      <c r="BE33" s="54" t="s">
        <v>131</v>
      </c>
      <c r="BF33" s="55">
        <v>340</v>
      </c>
      <c r="BG33" s="55">
        <v>289.3</v>
      </c>
      <c r="BH33" s="55">
        <v>270.39999999999998</v>
      </c>
      <c r="BI33" s="56">
        <v>0</v>
      </c>
      <c r="BJ33" s="57">
        <v>0</v>
      </c>
      <c r="BK33" s="57">
        <v>0</v>
      </c>
      <c r="BL33" s="57">
        <v>0</v>
      </c>
    </row>
    <row r="34" spans="1:64" ht="22.5" customHeight="1" x14ac:dyDescent="0.25">
      <c r="A34" s="35">
        <f t="shared" si="0"/>
        <v>28</v>
      </c>
      <c r="B34" s="5" t="s">
        <v>97</v>
      </c>
      <c r="C34" s="4">
        <v>12</v>
      </c>
      <c r="D34" s="6">
        <v>30</v>
      </c>
      <c r="E34" s="6">
        <v>26</v>
      </c>
      <c r="F34" s="6">
        <v>24</v>
      </c>
      <c r="G34" s="6" t="s">
        <v>23</v>
      </c>
      <c r="H34" s="45">
        <v>0</v>
      </c>
      <c r="I34" s="45">
        <v>20</v>
      </c>
      <c r="J34" s="45">
        <v>17.399999999999999</v>
      </c>
      <c r="K34" s="45">
        <v>16.11</v>
      </c>
      <c r="L34" s="63" t="e">
        <f t="shared" si="1"/>
        <v>#VALUE!</v>
      </c>
      <c r="M34" s="46" t="s">
        <v>141</v>
      </c>
      <c r="N34" s="46">
        <v>26</v>
      </c>
      <c r="O34" s="46">
        <v>0</v>
      </c>
      <c r="P34" s="46">
        <v>23.21</v>
      </c>
      <c r="Q34" s="47" t="s">
        <v>142</v>
      </c>
      <c r="R34" s="47">
        <v>28</v>
      </c>
      <c r="S34" s="47">
        <v>24.35</v>
      </c>
      <c r="T34" s="47">
        <v>22.86</v>
      </c>
      <c r="U34" s="48">
        <v>0</v>
      </c>
      <c r="V34" s="48">
        <v>0</v>
      </c>
      <c r="W34" s="48">
        <v>0</v>
      </c>
      <c r="X34" s="48">
        <v>0</v>
      </c>
      <c r="Y34" s="46">
        <v>0</v>
      </c>
      <c r="Z34" s="46">
        <v>0</v>
      </c>
      <c r="AA34" s="46">
        <v>0</v>
      </c>
      <c r="AB34" s="46">
        <v>0</v>
      </c>
      <c r="AC34" s="49" t="s">
        <v>143</v>
      </c>
      <c r="AD34" s="49">
        <v>25</v>
      </c>
      <c r="AE34" s="49">
        <v>21</v>
      </c>
      <c r="AF34" s="49">
        <v>20</v>
      </c>
      <c r="AG34" s="47">
        <v>0</v>
      </c>
      <c r="AH34" s="47">
        <v>0</v>
      </c>
      <c r="AI34" s="47">
        <v>0</v>
      </c>
      <c r="AJ34" s="47">
        <v>0</v>
      </c>
      <c r="AK34" s="48">
        <v>0</v>
      </c>
      <c r="AL34" s="48">
        <v>0</v>
      </c>
      <c r="AM34" s="48">
        <v>0</v>
      </c>
      <c r="AN34" s="48">
        <v>0</v>
      </c>
      <c r="AO34" s="49">
        <v>0</v>
      </c>
      <c r="AP34" s="49">
        <v>0</v>
      </c>
      <c r="AQ34" s="49">
        <v>0</v>
      </c>
      <c r="AR34" s="49">
        <v>0</v>
      </c>
      <c r="AS34" s="46" t="s">
        <v>143</v>
      </c>
      <c r="AT34" s="46">
        <v>28</v>
      </c>
      <c r="AU34" s="46">
        <v>24.5</v>
      </c>
      <c r="AV34" s="46">
        <v>22.9</v>
      </c>
      <c r="AW34" s="50">
        <v>0</v>
      </c>
      <c r="AX34" s="51">
        <v>0</v>
      </c>
      <c r="AY34" s="51">
        <v>0</v>
      </c>
      <c r="AZ34" s="51">
        <v>0</v>
      </c>
      <c r="BA34" s="52">
        <v>0</v>
      </c>
      <c r="BB34" s="53">
        <v>0</v>
      </c>
      <c r="BC34" s="53">
        <v>0</v>
      </c>
      <c r="BD34" s="53">
        <v>0</v>
      </c>
      <c r="BE34" s="54">
        <v>0</v>
      </c>
      <c r="BF34" s="55">
        <v>0</v>
      </c>
      <c r="BG34" s="55">
        <v>0</v>
      </c>
      <c r="BH34" s="55">
        <v>0</v>
      </c>
      <c r="BI34" s="56">
        <v>0</v>
      </c>
      <c r="BJ34" s="57">
        <v>0</v>
      </c>
      <c r="BK34" s="57">
        <v>0</v>
      </c>
      <c r="BL34" s="57">
        <v>0</v>
      </c>
    </row>
    <row r="35" spans="1:64" ht="26.25" customHeight="1" x14ac:dyDescent="0.25">
      <c r="A35" s="35">
        <f t="shared" si="0"/>
        <v>29</v>
      </c>
      <c r="B35" s="5" t="s">
        <v>98</v>
      </c>
      <c r="C35" s="4">
        <v>12</v>
      </c>
      <c r="D35" s="6">
        <v>20</v>
      </c>
      <c r="E35" s="6">
        <v>16.5</v>
      </c>
      <c r="F35" s="6">
        <v>14.75</v>
      </c>
      <c r="G35" s="6" t="s">
        <v>23</v>
      </c>
      <c r="H35" s="45">
        <v>0</v>
      </c>
      <c r="I35" s="45">
        <v>20</v>
      </c>
      <c r="J35" s="45">
        <v>16.501650165016503</v>
      </c>
      <c r="K35" s="45">
        <v>14.74</v>
      </c>
      <c r="L35" s="45" t="e">
        <f t="shared" si="1"/>
        <v>#VALUE!</v>
      </c>
      <c r="M35" s="46">
        <v>0</v>
      </c>
      <c r="N35" s="46">
        <v>0</v>
      </c>
      <c r="O35" s="46">
        <v>0</v>
      </c>
      <c r="P35" s="46">
        <v>0</v>
      </c>
      <c r="Q35" s="47" t="s">
        <v>144</v>
      </c>
      <c r="R35" s="47">
        <v>30</v>
      </c>
      <c r="S35" s="47">
        <v>25</v>
      </c>
      <c r="T35" s="47">
        <v>22.32</v>
      </c>
      <c r="U35" s="48">
        <v>0</v>
      </c>
      <c r="V35" s="48">
        <v>20</v>
      </c>
      <c r="W35" s="48">
        <v>18.001800180018002</v>
      </c>
      <c r="X35" s="48">
        <v>16.824112317773832</v>
      </c>
      <c r="Y35" s="46">
        <v>0</v>
      </c>
      <c r="Z35" s="46">
        <v>0</v>
      </c>
      <c r="AA35" s="46">
        <v>0</v>
      </c>
      <c r="AB35" s="46">
        <v>0</v>
      </c>
      <c r="AC35" s="49">
        <v>0</v>
      </c>
      <c r="AD35" s="49">
        <v>0</v>
      </c>
      <c r="AE35" s="49">
        <v>0</v>
      </c>
      <c r="AF35" s="49">
        <v>0</v>
      </c>
      <c r="AG35" s="47">
        <v>0</v>
      </c>
      <c r="AH35" s="47">
        <v>0</v>
      </c>
      <c r="AI35" s="47">
        <v>0</v>
      </c>
      <c r="AJ35" s="47">
        <v>0</v>
      </c>
      <c r="AK35" s="48">
        <v>0</v>
      </c>
      <c r="AL35" s="48">
        <v>0</v>
      </c>
      <c r="AM35" s="48">
        <v>0</v>
      </c>
      <c r="AN35" s="48">
        <v>0</v>
      </c>
      <c r="AO35" s="49">
        <v>0</v>
      </c>
      <c r="AP35" s="49">
        <v>0</v>
      </c>
      <c r="AQ35" s="49">
        <v>0</v>
      </c>
      <c r="AR35" s="49">
        <v>0</v>
      </c>
      <c r="AS35" s="46">
        <v>0</v>
      </c>
      <c r="AT35" s="46">
        <v>0</v>
      </c>
      <c r="AU35" s="46">
        <v>0</v>
      </c>
      <c r="AV35" s="46">
        <v>0</v>
      </c>
      <c r="AW35" s="50">
        <v>0</v>
      </c>
      <c r="AX35" s="51">
        <v>0</v>
      </c>
      <c r="AY35" s="51">
        <v>0</v>
      </c>
      <c r="AZ35" s="51">
        <v>0</v>
      </c>
      <c r="BA35" s="52">
        <v>0</v>
      </c>
      <c r="BB35" s="53">
        <v>0</v>
      </c>
      <c r="BC35" s="53">
        <v>0</v>
      </c>
      <c r="BD35" s="53">
        <v>0</v>
      </c>
      <c r="BE35" s="54">
        <v>0</v>
      </c>
      <c r="BF35" s="55">
        <v>0</v>
      </c>
      <c r="BG35" s="55">
        <v>0</v>
      </c>
      <c r="BH35" s="55">
        <v>0</v>
      </c>
      <c r="BI35" s="56">
        <v>0</v>
      </c>
      <c r="BJ35" s="57">
        <v>0</v>
      </c>
      <c r="BK35" s="57">
        <v>0</v>
      </c>
      <c r="BL35" s="57">
        <v>0</v>
      </c>
    </row>
  </sheetData>
  <mergeCells count="15">
    <mergeCell ref="Y1:AB1"/>
    <mergeCell ref="D1:F1"/>
    <mergeCell ref="H1:K1"/>
    <mergeCell ref="M1:P1"/>
    <mergeCell ref="Q1:T1"/>
    <mergeCell ref="U1:X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7"/>
  <sheetViews>
    <sheetView workbookViewId="0">
      <selection activeCell="G3" sqref="G3"/>
    </sheetView>
  </sheetViews>
  <sheetFormatPr defaultRowHeight="15" x14ac:dyDescent="0.25"/>
  <cols>
    <col min="1" max="1" width="5.7109375" style="72" bestFit="1" customWidth="1"/>
    <col min="2" max="2" width="25.85546875" bestFit="1" customWidth="1"/>
    <col min="3" max="3" width="4.42578125" hidden="1" customWidth="1"/>
    <col min="4" max="4" width="5.140625" hidden="1" customWidth="1"/>
    <col min="5" max="6" width="6.5703125" hidden="1" customWidth="1"/>
    <col min="7" max="7" width="8" hidden="1" customWidth="1"/>
    <col min="8" max="8" width="10.28515625" bestFit="1" customWidth="1"/>
    <col min="9" max="9" width="6.42578125" bestFit="1" customWidth="1"/>
    <col min="10" max="11" width="6.5703125" bestFit="1" customWidth="1"/>
    <col min="12" max="12" width="11.140625" bestFit="1" customWidth="1"/>
    <col min="13" max="15" width="7.42578125" bestFit="1" customWidth="1"/>
    <col min="16" max="16" width="10.85546875" bestFit="1" customWidth="1"/>
    <col min="17" max="19" width="7.42578125" bestFit="1" customWidth="1"/>
    <col min="20" max="20" width="4.5703125" bestFit="1" customWidth="1"/>
    <col min="21" max="21" width="6.42578125" bestFit="1" customWidth="1"/>
    <col min="22" max="23" width="6.5703125" bestFit="1" customWidth="1"/>
    <col min="24" max="24" width="4.5703125" hidden="1" customWidth="1"/>
    <col min="25" max="25" width="5.140625" hidden="1" customWidth="1"/>
    <col min="26" max="27" width="6.5703125" hidden="1" customWidth="1"/>
    <col min="28" max="28" width="4.5703125" hidden="1" customWidth="1"/>
    <col min="29" max="29" width="5.140625" hidden="1" customWidth="1"/>
    <col min="30" max="31" width="6.5703125" hidden="1" customWidth="1"/>
    <col min="32" max="32" width="4.5703125" hidden="1" customWidth="1"/>
    <col min="33" max="33" width="5.140625" hidden="1" customWidth="1"/>
    <col min="34" max="35" width="6.5703125" hidden="1" customWidth="1"/>
    <col min="36" max="36" width="4.5703125" hidden="1" customWidth="1"/>
    <col min="37" max="37" width="5.140625" hidden="1" customWidth="1"/>
    <col min="38" max="39" width="6.5703125" hidden="1" customWidth="1"/>
    <col min="40" max="40" width="4.5703125" hidden="1" customWidth="1"/>
    <col min="41" max="41" width="5.140625" hidden="1" customWidth="1"/>
    <col min="42" max="43" width="6.5703125" hidden="1" customWidth="1"/>
    <col min="44" max="44" width="4.5703125" hidden="1" customWidth="1"/>
    <col min="45" max="45" width="5.140625" hidden="1" customWidth="1"/>
    <col min="46" max="47" width="6.5703125" hidden="1" customWidth="1"/>
    <col min="48" max="48" width="4.5703125" hidden="1" customWidth="1"/>
    <col min="49" max="49" width="5.140625" hidden="1" customWidth="1"/>
    <col min="50" max="51" width="6.5703125" hidden="1" customWidth="1"/>
    <col min="52" max="52" width="4.5703125" hidden="1" customWidth="1"/>
    <col min="53" max="53" width="5.140625" hidden="1" customWidth="1"/>
    <col min="54" max="55" width="6.5703125" hidden="1" customWidth="1"/>
    <col min="56" max="56" width="4.5703125" hidden="1" customWidth="1"/>
    <col min="57" max="57" width="5.140625" hidden="1" customWidth="1"/>
    <col min="58" max="59" width="6.5703125" hidden="1" customWidth="1"/>
  </cols>
  <sheetData>
    <row r="1" spans="1:59" s="66" customFormat="1" ht="18.75" x14ac:dyDescent="0.3">
      <c r="A1" s="64"/>
      <c r="B1" s="65"/>
      <c r="C1" s="65"/>
      <c r="D1" s="153" t="s">
        <v>101</v>
      </c>
      <c r="E1" s="153"/>
      <c r="F1" s="153"/>
      <c r="G1" s="64"/>
      <c r="H1" s="153" t="s">
        <v>86</v>
      </c>
      <c r="I1" s="153"/>
      <c r="J1" s="153"/>
      <c r="K1" s="153"/>
      <c r="L1" s="153" t="s">
        <v>87</v>
      </c>
      <c r="M1" s="153"/>
      <c r="N1" s="153"/>
      <c r="O1" s="153"/>
      <c r="P1" s="153" t="s">
        <v>88</v>
      </c>
      <c r="Q1" s="153"/>
      <c r="R1" s="153"/>
      <c r="S1" s="153"/>
      <c r="T1" s="153" t="s">
        <v>89</v>
      </c>
      <c r="U1" s="153"/>
      <c r="V1" s="153"/>
      <c r="W1" s="153"/>
      <c r="X1" s="153" t="s">
        <v>103</v>
      </c>
      <c r="Y1" s="153"/>
      <c r="Z1" s="153"/>
      <c r="AA1" s="153"/>
      <c r="AB1" s="153" t="s">
        <v>104</v>
      </c>
      <c r="AC1" s="153"/>
      <c r="AD1" s="153"/>
      <c r="AE1" s="153"/>
      <c r="AF1" s="153" t="s">
        <v>105</v>
      </c>
      <c r="AG1" s="153"/>
      <c r="AH1" s="153"/>
      <c r="AI1" s="153"/>
      <c r="AJ1" s="153" t="s">
        <v>106</v>
      </c>
      <c r="AK1" s="153"/>
      <c r="AL1" s="153"/>
      <c r="AM1" s="153"/>
      <c r="AN1" s="153" t="s">
        <v>107</v>
      </c>
      <c r="AO1" s="153"/>
      <c r="AP1" s="153"/>
      <c r="AQ1" s="153"/>
      <c r="AR1" s="153" t="s">
        <v>108</v>
      </c>
      <c r="AS1" s="153"/>
      <c r="AT1" s="153"/>
      <c r="AU1" s="153"/>
      <c r="AV1" s="153" t="s">
        <v>109</v>
      </c>
      <c r="AW1" s="153"/>
      <c r="AX1" s="153"/>
      <c r="AY1" s="153"/>
      <c r="AZ1" s="153" t="s">
        <v>110</v>
      </c>
      <c r="BA1" s="153"/>
      <c r="BB1" s="153"/>
      <c r="BC1" s="153"/>
      <c r="BD1" s="153" t="s">
        <v>111</v>
      </c>
      <c r="BE1" s="153"/>
      <c r="BF1" s="153"/>
      <c r="BG1" s="153"/>
    </row>
    <row r="2" spans="1:59" s="44" customFormat="1" ht="45" x14ac:dyDescent="0.25">
      <c r="A2" s="41" t="s">
        <v>112</v>
      </c>
      <c r="B2" s="42" t="s">
        <v>113</v>
      </c>
      <c r="C2" s="41" t="s">
        <v>6</v>
      </c>
      <c r="D2" s="41" t="s">
        <v>7</v>
      </c>
      <c r="E2" s="41" t="s">
        <v>114</v>
      </c>
      <c r="F2" s="41" t="s">
        <v>115</v>
      </c>
      <c r="G2" s="41" t="s">
        <v>116</v>
      </c>
      <c r="H2" s="42" t="s">
        <v>113</v>
      </c>
      <c r="I2" s="41" t="s">
        <v>7</v>
      </c>
      <c r="J2" s="41" t="s">
        <v>114</v>
      </c>
      <c r="K2" s="41" t="s">
        <v>115</v>
      </c>
      <c r="L2" s="42" t="s">
        <v>113</v>
      </c>
      <c r="M2" s="41" t="s">
        <v>7</v>
      </c>
      <c r="N2" s="41" t="s">
        <v>114</v>
      </c>
      <c r="O2" s="41" t="s">
        <v>115</v>
      </c>
      <c r="P2" s="42" t="s">
        <v>113</v>
      </c>
      <c r="Q2" s="41" t="s">
        <v>7</v>
      </c>
      <c r="R2" s="41" t="s">
        <v>114</v>
      </c>
      <c r="S2" s="41" t="s">
        <v>115</v>
      </c>
      <c r="T2" s="42" t="s">
        <v>113</v>
      </c>
      <c r="U2" s="41" t="s">
        <v>7</v>
      </c>
      <c r="V2" s="41" t="s">
        <v>114</v>
      </c>
      <c r="W2" s="41" t="s">
        <v>115</v>
      </c>
      <c r="X2" s="42" t="s">
        <v>113</v>
      </c>
      <c r="Y2" s="41" t="s">
        <v>7</v>
      </c>
      <c r="Z2" s="41" t="s">
        <v>114</v>
      </c>
      <c r="AA2" s="41" t="s">
        <v>115</v>
      </c>
      <c r="AB2" s="42" t="s">
        <v>113</v>
      </c>
      <c r="AC2" s="41" t="s">
        <v>7</v>
      </c>
      <c r="AD2" s="41" t="s">
        <v>114</v>
      </c>
      <c r="AE2" s="41" t="s">
        <v>115</v>
      </c>
      <c r="AF2" s="42" t="s">
        <v>113</v>
      </c>
      <c r="AG2" s="41" t="s">
        <v>7</v>
      </c>
      <c r="AH2" s="41" t="s">
        <v>114</v>
      </c>
      <c r="AI2" s="41" t="s">
        <v>115</v>
      </c>
      <c r="AJ2" s="42" t="s">
        <v>113</v>
      </c>
      <c r="AK2" s="41" t="s">
        <v>7</v>
      </c>
      <c r="AL2" s="41" t="s">
        <v>114</v>
      </c>
      <c r="AM2" s="41" t="s">
        <v>115</v>
      </c>
      <c r="AN2" s="42" t="s">
        <v>113</v>
      </c>
      <c r="AO2" s="41" t="s">
        <v>7</v>
      </c>
      <c r="AP2" s="41" t="s">
        <v>114</v>
      </c>
      <c r="AQ2" s="41" t="s">
        <v>115</v>
      </c>
      <c r="AR2" s="42" t="s">
        <v>113</v>
      </c>
      <c r="AS2" s="41" t="s">
        <v>7</v>
      </c>
      <c r="AT2" s="41" t="s">
        <v>114</v>
      </c>
      <c r="AU2" s="41" t="s">
        <v>115</v>
      </c>
      <c r="AV2" s="42" t="s">
        <v>113</v>
      </c>
      <c r="AW2" s="41" t="s">
        <v>7</v>
      </c>
      <c r="AX2" s="41" t="s">
        <v>114</v>
      </c>
      <c r="AY2" s="41" t="s">
        <v>115</v>
      </c>
      <c r="AZ2" s="42" t="s">
        <v>113</v>
      </c>
      <c r="BA2" s="41" t="s">
        <v>7</v>
      </c>
      <c r="BB2" s="41" t="s">
        <v>114</v>
      </c>
      <c r="BC2" s="41" t="s">
        <v>115</v>
      </c>
      <c r="BD2" s="42" t="s">
        <v>113</v>
      </c>
      <c r="BE2" s="41" t="s">
        <v>7</v>
      </c>
      <c r="BF2" s="41" t="s">
        <v>114</v>
      </c>
      <c r="BG2" s="41" t="s">
        <v>115</v>
      </c>
    </row>
    <row r="3" spans="1:59" s="71" customFormat="1" ht="23.25" x14ac:dyDescent="0.35">
      <c r="A3" s="67">
        <v>1</v>
      </c>
      <c r="B3" s="68" t="s">
        <v>145</v>
      </c>
      <c r="C3" s="68"/>
      <c r="D3" s="68"/>
      <c r="E3" s="68"/>
      <c r="F3" s="68"/>
      <c r="G3" s="68"/>
      <c r="H3" s="69"/>
      <c r="I3" s="69"/>
      <c r="J3" s="69"/>
      <c r="K3" s="69"/>
      <c r="L3" s="69" t="s">
        <v>146</v>
      </c>
      <c r="M3" s="69">
        <v>12</v>
      </c>
      <c r="N3" s="69">
        <v>10.85</v>
      </c>
      <c r="O3" s="69">
        <v>10.45</v>
      </c>
      <c r="P3" s="69"/>
      <c r="Q3" s="69"/>
      <c r="R3" s="70"/>
      <c r="S3" s="69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</row>
    <row r="4" spans="1:59" s="71" customFormat="1" ht="23.25" x14ac:dyDescent="0.35">
      <c r="A4" s="67">
        <v>2</v>
      </c>
      <c r="B4" s="68" t="s">
        <v>147</v>
      </c>
      <c r="C4" s="68"/>
      <c r="D4" s="68"/>
      <c r="E4" s="68"/>
      <c r="F4" s="68"/>
      <c r="G4" s="68"/>
      <c r="H4" s="69" t="s">
        <v>148</v>
      </c>
      <c r="I4" s="69">
        <v>34</v>
      </c>
      <c r="J4" s="69">
        <v>32.4</v>
      </c>
      <c r="K4" s="69">
        <v>31.58</v>
      </c>
      <c r="L4" s="69" t="s">
        <v>146</v>
      </c>
      <c r="M4" s="69">
        <v>34</v>
      </c>
      <c r="N4" s="69">
        <v>32.9</v>
      </c>
      <c r="O4" s="69">
        <v>32.31</v>
      </c>
      <c r="P4" s="69" t="s">
        <v>149</v>
      </c>
      <c r="Q4" s="69">
        <v>34</v>
      </c>
      <c r="R4" s="70">
        <v>33.25</v>
      </c>
      <c r="S4" s="69">
        <v>32.6</v>
      </c>
      <c r="T4" s="70"/>
      <c r="U4" s="70">
        <v>33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</row>
    <row r="5" spans="1:59" s="71" customFormat="1" ht="23.25" x14ac:dyDescent="0.35">
      <c r="A5" s="67">
        <f>A4+1</f>
        <v>3</v>
      </c>
      <c r="B5" s="68" t="s">
        <v>150</v>
      </c>
      <c r="C5" s="68"/>
      <c r="D5" s="68"/>
      <c r="E5" s="68"/>
      <c r="F5" s="68"/>
      <c r="G5" s="68"/>
      <c r="H5" s="69"/>
      <c r="I5" s="69"/>
      <c r="J5" s="69"/>
      <c r="K5" s="69"/>
      <c r="L5" s="69" t="s">
        <v>146</v>
      </c>
      <c r="M5" s="69">
        <v>67</v>
      </c>
      <c r="N5" s="69">
        <v>64.819999999999993</v>
      </c>
      <c r="O5" s="69">
        <v>63.62</v>
      </c>
      <c r="P5" s="69" t="s">
        <v>149</v>
      </c>
      <c r="Q5" s="69">
        <v>67</v>
      </c>
      <c r="R5" s="70">
        <v>65.5</v>
      </c>
      <c r="S5" s="69">
        <v>64.27</v>
      </c>
      <c r="T5" s="70"/>
      <c r="U5" s="70">
        <v>67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</row>
    <row r="6" spans="1:59" s="71" customFormat="1" ht="23.25" x14ac:dyDescent="0.35">
      <c r="A6" s="67">
        <f>A5+1</f>
        <v>4</v>
      </c>
      <c r="B6" s="68" t="s">
        <v>151</v>
      </c>
      <c r="C6" s="68"/>
      <c r="D6" s="68"/>
      <c r="E6" s="68"/>
      <c r="F6" s="68"/>
      <c r="G6" s="68"/>
      <c r="H6" s="69"/>
      <c r="I6" s="69"/>
      <c r="J6" s="69"/>
      <c r="K6" s="69"/>
      <c r="L6" s="69" t="s">
        <v>146</v>
      </c>
      <c r="M6" s="69">
        <v>390</v>
      </c>
      <c r="N6" s="69">
        <v>373.38</v>
      </c>
      <c r="O6" s="69">
        <v>367.98</v>
      </c>
      <c r="P6" s="69" t="s">
        <v>149</v>
      </c>
      <c r="Q6" s="69">
        <v>373</v>
      </c>
      <c r="R6" s="70">
        <v>361</v>
      </c>
      <c r="S6" s="69">
        <v>355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</row>
    <row r="7" spans="1:59" x14ac:dyDescent="0.25">
      <c r="O7" s="73"/>
    </row>
  </sheetData>
  <mergeCells count="14">
    <mergeCell ref="X1:AA1"/>
    <mergeCell ref="D1:F1"/>
    <mergeCell ref="H1:K1"/>
    <mergeCell ref="L1:O1"/>
    <mergeCell ref="P1:S1"/>
    <mergeCell ref="T1:W1"/>
    <mergeCell ref="AZ1:BC1"/>
    <mergeCell ref="BD1:BG1"/>
    <mergeCell ref="AB1:AE1"/>
    <mergeCell ref="AF1:AI1"/>
    <mergeCell ref="AJ1:AM1"/>
    <mergeCell ref="AN1:AQ1"/>
    <mergeCell ref="AR1:AU1"/>
    <mergeCell ref="AV1:A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D10" sqref="D10"/>
    </sheetView>
  </sheetViews>
  <sheetFormatPr defaultRowHeight="15" x14ac:dyDescent="0.25"/>
  <cols>
    <col min="1" max="1" width="5.85546875" bestFit="1" customWidth="1"/>
    <col min="2" max="2" width="36.140625" bestFit="1" customWidth="1"/>
    <col min="3" max="3" width="4.42578125" bestFit="1" customWidth="1"/>
    <col min="4" max="4" width="7.42578125" bestFit="1" customWidth="1"/>
    <col min="5" max="5" width="11.85546875" bestFit="1" customWidth="1"/>
    <col min="6" max="6" width="9.5703125" bestFit="1" customWidth="1"/>
    <col min="7" max="7" width="4.5703125" hidden="1" customWidth="1"/>
  </cols>
  <sheetData>
    <row r="1" spans="1:7" x14ac:dyDescent="0.25">
      <c r="A1" s="150" t="s">
        <v>152</v>
      </c>
      <c r="B1" s="150"/>
      <c r="C1" s="150"/>
      <c r="D1" s="150"/>
      <c r="E1" s="150"/>
      <c r="F1" s="150"/>
    </row>
    <row r="2" spans="1:7" x14ac:dyDescent="0.25">
      <c r="A2" s="1" t="s">
        <v>4</v>
      </c>
      <c r="B2" s="2" t="s">
        <v>5</v>
      </c>
      <c r="C2" s="1" t="s">
        <v>6</v>
      </c>
      <c r="D2" s="1" t="s">
        <v>7</v>
      </c>
      <c r="E2" s="1" t="s">
        <v>153</v>
      </c>
      <c r="F2" s="1" t="s">
        <v>154</v>
      </c>
    </row>
    <row r="3" spans="1:7" x14ac:dyDescent="0.25">
      <c r="A3" s="4">
        <v>1</v>
      </c>
      <c r="B3" s="5" t="s">
        <v>29</v>
      </c>
      <c r="C3" s="4">
        <v>12</v>
      </c>
      <c r="D3" s="36">
        <v>25</v>
      </c>
      <c r="E3" s="36">
        <v>21.75</v>
      </c>
      <c r="F3" s="36" t="s">
        <v>155</v>
      </c>
      <c r="G3" s="10">
        <v>0.13</v>
      </c>
    </row>
    <row r="4" spans="1:7" x14ac:dyDescent="0.25">
      <c r="A4" s="4">
        <f t="shared" ref="A4:A16" si="0">A3+1</f>
        <v>2</v>
      </c>
      <c r="B4" s="5" t="s">
        <v>31</v>
      </c>
      <c r="C4" s="4">
        <v>60</v>
      </c>
      <c r="D4" s="36">
        <v>18</v>
      </c>
      <c r="E4" s="36">
        <v>15.66</v>
      </c>
      <c r="F4" s="36" t="s">
        <v>155</v>
      </c>
      <c r="G4" s="10">
        <v>0.13</v>
      </c>
    </row>
    <row r="5" spans="1:7" x14ac:dyDescent="0.25">
      <c r="A5" s="4">
        <f t="shared" si="0"/>
        <v>3</v>
      </c>
      <c r="B5" s="5" t="s">
        <v>97</v>
      </c>
      <c r="C5" s="4">
        <v>12</v>
      </c>
      <c r="D5" s="36">
        <v>30</v>
      </c>
      <c r="E5" s="36">
        <v>26.1</v>
      </c>
      <c r="F5" s="36" t="s">
        <v>155</v>
      </c>
      <c r="G5" s="10">
        <v>0.13</v>
      </c>
    </row>
    <row r="6" spans="1:7" x14ac:dyDescent="0.25">
      <c r="A6" s="4">
        <f t="shared" si="0"/>
        <v>4</v>
      </c>
      <c r="B6" s="5" t="s">
        <v>98</v>
      </c>
      <c r="C6" s="4">
        <v>12</v>
      </c>
      <c r="D6" s="36">
        <v>20</v>
      </c>
      <c r="E6" s="36">
        <v>17.399999999999999</v>
      </c>
      <c r="F6" s="36" t="s">
        <v>155</v>
      </c>
      <c r="G6" s="10">
        <v>0.13</v>
      </c>
    </row>
    <row r="7" spans="1:7" x14ac:dyDescent="0.25">
      <c r="A7" s="4">
        <f t="shared" si="0"/>
        <v>5</v>
      </c>
      <c r="B7" s="5" t="s">
        <v>60</v>
      </c>
      <c r="C7" s="4">
        <v>1</v>
      </c>
      <c r="D7" s="36">
        <v>120</v>
      </c>
      <c r="E7" s="36">
        <v>96</v>
      </c>
      <c r="F7" s="36" t="s">
        <v>155</v>
      </c>
      <c r="G7" s="10">
        <v>0.2</v>
      </c>
    </row>
    <row r="8" spans="1:7" x14ac:dyDescent="0.25">
      <c r="A8" s="4">
        <f t="shared" si="0"/>
        <v>6</v>
      </c>
      <c r="B8" s="5" t="s">
        <v>54</v>
      </c>
      <c r="C8" s="4">
        <v>10</v>
      </c>
      <c r="D8" s="36">
        <v>15</v>
      </c>
      <c r="E8" s="36">
        <v>10.5</v>
      </c>
      <c r="F8" s="36" t="s">
        <v>155</v>
      </c>
      <c r="G8" s="10">
        <v>0.3</v>
      </c>
    </row>
    <row r="9" spans="1:7" x14ac:dyDescent="0.25">
      <c r="A9" s="4">
        <f t="shared" si="0"/>
        <v>7</v>
      </c>
      <c r="B9" s="5" t="s">
        <v>67</v>
      </c>
      <c r="C9" s="4">
        <v>1</v>
      </c>
      <c r="D9" s="36">
        <v>390</v>
      </c>
      <c r="E9" s="36">
        <v>319.8</v>
      </c>
      <c r="F9" s="36" t="s">
        <v>23</v>
      </c>
      <c r="G9" s="10">
        <v>0.18</v>
      </c>
    </row>
    <row r="10" spans="1:7" x14ac:dyDescent="0.25">
      <c r="A10" s="4">
        <f t="shared" si="0"/>
        <v>8</v>
      </c>
      <c r="B10" s="5" t="s">
        <v>75</v>
      </c>
      <c r="C10" s="4">
        <v>80</v>
      </c>
      <c r="D10" s="36">
        <v>150</v>
      </c>
      <c r="E10" s="36">
        <v>120</v>
      </c>
      <c r="F10" s="154" t="s">
        <v>156</v>
      </c>
      <c r="G10" s="10">
        <v>0.2</v>
      </c>
    </row>
    <row r="11" spans="1:7" x14ac:dyDescent="0.25">
      <c r="A11" s="4">
        <f t="shared" si="0"/>
        <v>9</v>
      </c>
      <c r="B11" s="5" t="s">
        <v>76</v>
      </c>
      <c r="C11" s="4">
        <v>36</v>
      </c>
      <c r="D11" s="36">
        <v>360</v>
      </c>
      <c r="E11" s="36">
        <v>288</v>
      </c>
      <c r="F11" s="155"/>
      <c r="G11" s="10">
        <v>0.2</v>
      </c>
    </row>
    <row r="12" spans="1:7" x14ac:dyDescent="0.25">
      <c r="A12" s="4">
        <f t="shared" si="0"/>
        <v>10</v>
      </c>
      <c r="B12" s="5" t="s">
        <v>77</v>
      </c>
      <c r="C12" s="4">
        <v>18</v>
      </c>
      <c r="D12" s="36">
        <v>710</v>
      </c>
      <c r="E12" s="36">
        <v>568</v>
      </c>
      <c r="F12" s="156"/>
      <c r="G12" s="10">
        <v>0.2</v>
      </c>
    </row>
    <row r="13" spans="1:7" x14ac:dyDescent="0.25">
      <c r="A13" s="4">
        <f t="shared" si="0"/>
        <v>11</v>
      </c>
      <c r="B13" s="5" t="s">
        <v>81</v>
      </c>
      <c r="C13" s="4">
        <v>12</v>
      </c>
      <c r="D13" s="36">
        <v>80</v>
      </c>
      <c r="E13" s="32">
        <v>62</v>
      </c>
      <c r="F13" s="36" t="s">
        <v>157</v>
      </c>
    </row>
    <row r="14" spans="1:7" x14ac:dyDescent="0.25">
      <c r="A14" s="4">
        <f t="shared" si="0"/>
        <v>12</v>
      </c>
      <c r="B14" s="5" t="s">
        <v>83</v>
      </c>
      <c r="C14" s="4">
        <v>12</v>
      </c>
      <c r="D14" s="36">
        <v>75</v>
      </c>
      <c r="E14" s="32">
        <v>59</v>
      </c>
      <c r="F14" s="36" t="s">
        <v>157</v>
      </c>
    </row>
    <row r="15" spans="1:7" x14ac:dyDescent="0.25">
      <c r="A15" s="4">
        <f t="shared" si="0"/>
        <v>13</v>
      </c>
      <c r="B15" s="5" t="s">
        <v>84</v>
      </c>
      <c r="C15" s="4">
        <v>30</v>
      </c>
      <c r="D15" s="36">
        <v>10</v>
      </c>
      <c r="E15" s="32">
        <f>255/30</f>
        <v>8.5</v>
      </c>
      <c r="F15" s="36" t="s">
        <v>157</v>
      </c>
    </row>
    <row r="16" spans="1:7" x14ac:dyDescent="0.25">
      <c r="A16" s="4">
        <f t="shared" si="0"/>
        <v>14</v>
      </c>
      <c r="B16" s="5" t="s">
        <v>85</v>
      </c>
      <c r="C16" s="4">
        <v>24</v>
      </c>
      <c r="D16" s="36">
        <v>30</v>
      </c>
      <c r="E16" s="32">
        <v>27</v>
      </c>
      <c r="F16" s="36" t="s">
        <v>157</v>
      </c>
    </row>
  </sheetData>
  <mergeCells count="2">
    <mergeCell ref="A1:F1"/>
    <mergeCell ref="F10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>
      <selection activeCell="F2" sqref="F2"/>
    </sheetView>
  </sheetViews>
  <sheetFormatPr defaultRowHeight="15" x14ac:dyDescent="0.25"/>
  <cols>
    <col min="1" max="1" width="5.85546875" style="33" bestFit="1" customWidth="1"/>
    <col min="2" max="2" width="40.140625" style="33" customWidth="1"/>
    <col min="3" max="3" width="8.5703125" style="33" customWidth="1"/>
    <col min="4" max="4" width="10" style="33" customWidth="1"/>
    <col min="5" max="5" width="11.42578125" style="33" customWidth="1"/>
    <col min="6" max="6" width="18.5703125" style="33" customWidth="1"/>
    <col min="7" max="7" width="13.140625" style="33" bestFit="1" customWidth="1"/>
  </cols>
  <sheetData>
    <row r="1" spans="1:7" x14ac:dyDescent="0.25">
      <c r="A1" s="150" t="s">
        <v>158</v>
      </c>
      <c r="B1" s="150"/>
      <c r="C1" s="150"/>
      <c r="D1" s="150"/>
      <c r="E1" s="150"/>
      <c r="F1" s="150"/>
      <c r="G1" s="150"/>
    </row>
    <row r="2" spans="1:7" ht="30" customHeight="1" x14ac:dyDescent="0.25">
      <c r="A2" s="23" t="s">
        <v>4</v>
      </c>
      <c r="B2" s="23" t="s">
        <v>5</v>
      </c>
      <c r="C2" s="23" t="s">
        <v>6</v>
      </c>
      <c r="D2" s="23" t="s">
        <v>7</v>
      </c>
      <c r="E2" s="23" t="s">
        <v>94</v>
      </c>
      <c r="F2" s="23" t="s">
        <v>154</v>
      </c>
      <c r="G2" s="37" t="s">
        <v>159</v>
      </c>
    </row>
    <row r="3" spans="1:7" x14ac:dyDescent="0.25">
      <c r="A3" s="4">
        <v>1</v>
      </c>
      <c r="B3" s="5" t="s">
        <v>25</v>
      </c>
      <c r="C3" s="4">
        <v>24</v>
      </c>
      <c r="D3" s="6">
        <v>28</v>
      </c>
      <c r="E3" s="6">
        <v>26</v>
      </c>
      <c r="F3" s="6" t="s">
        <v>160</v>
      </c>
      <c r="G3" s="6">
        <f>E3-2</f>
        <v>24</v>
      </c>
    </row>
    <row r="4" spans="1:7" x14ac:dyDescent="0.25">
      <c r="A4" s="4">
        <f t="shared" ref="A4:A27" si="0">A3+1</f>
        <v>2</v>
      </c>
      <c r="B4" s="5" t="s">
        <v>28</v>
      </c>
      <c r="C4" s="4">
        <v>24</v>
      </c>
      <c r="D4" s="6">
        <v>29</v>
      </c>
      <c r="E4" s="6">
        <v>27</v>
      </c>
      <c r="F4" s="6" t="s">
        <v>160</v>
      </c>
      <c r="G4" s="6">
        <f>E4-2</f>
        <v>25</v>
      </c>
    </row>
    <row r="5" spans="1:7" x14ac:dyDescent="0.25">
      <c r="A5" s="4">
        <f t="shared" si="0"/>
        <v>3</v>
      </c>
      <c r="B5" s="5" t="s">
        <v>29</v>
      </c>
      <c r="C5" s="4">
        <v>12</v>
      </c>
      <c r="D5" s="6">
        <v>25</v>
      </c>
      <c r="E5" s="6">
        <v>20.95</v>
      </c>
      <c r="F5" s="6" t="s">
        <v>161</v>
      </c>
      <c r="G5" s="6">
        <f>E5-5</f>
        <v>15.95</v>
      </c>
    </row>
    <row r="6" spans="1:7" x14ac:dyDescent="0.25">
      <c r="A6" s="4">
        <f t="shared" si="0"/>
        <v>4</v>
      </c>
      <c r="B6" s="5" t="s">
        <v>31</v>
      </c>
      <c r="C6" s="4">
        <v>60</v>
      </c>
      <c r="D6" s="6">
        <v>18</v>
      </c>
      <c r="E6" s="6">
        <v>13.95</v>
      </c>
      <c r="F6" s="7" t="s">
        <v>23</v>
      </c>
      <c r="G6" s="6"/>
    </row>
    <row r="7" spans="1:7" x14ac:dyDescent="0.25">
      <c r="A7" s="4">
        <f t="shared" si="0"/>
        <v>5</v>
      </c>
      <c r="B7" s="5" t="s">
        <v>33</v>
      </c>
      <c r="C7" s="4">
        <v>30</v>
      </c>
      <c r="D7" s="6">
        <v>35</v>
      </c>
      <c r="E7" s="6">
        <v>26.95</v>
      </c>
      <c r="F7" s="7" t="s">
        <v>23</v>
      </c>
      <c r="G7" s="6"/>
    </row>
    <row r="8" spans="1:7" x14ac:dyDescent="0.25">
      <c r="A8" s="4">
        <f t="shared" si="0"/>
        <v>6</v>
      </c>
      <c r="B8" s="5" t="s">
        <v>35</v>
      </c>
      <c r="C8" s="4">
        <v>12</v>
      </c>
      <c r="D8" s="6">
        <v>75</v>
      </c>
      <c r="E8" s="6">
        <v>64.95</v>
      </c>
      <c r="F8" s="7" t="s">
        <v>23</v>
      </c>
      <c r="G8" s="6"/>
    </row>
    <row r="9" spans="1:7" x14ac:dyDescent="0.25">
      <c r="A9" s="4">
        <f t="shared" si="0"/>
        <v>7</v>
      </c>
      <c r="B9" s="5" t="s">
        <v>36</v>
      </c>
      <c r="C9" s="4">
        <v>2</v>
      </c>
      <c r="D9" s="6">
        <v>360</v>
      </c>
      <c r="E9" s="6">
        <v>315</v>
      </c>
      <c r="F9" s="7" t="s">
        <v>23</v>
      </c>
      <c r="G9" s="6"/>
    </row>
    <row r="10" spans="1:7" x14ac:dyDescent="0.25">
      <c r="A10" s="4">
        <f t="shared" si="0"/>
        <v>8</v>
      </c>
      <c r="B10" s="5" t="s">
        <v>38</v>
      </c>
      <c r="C10" s="4">
        <v>1</v>
      </c>
      <c r="D10" s="6">
        <v>400</v>
      </c>
      <c r="E10" s="6">
        <v>345</v>
      </c>
      <c r="F10" s="7" t="s">
        <v>23</v>
      </c>
      <c r="G10" s="6"/>
    </row>
    <row r="11" spans="1:7" x14ac:dyDescent="0.25">
      <c r="A11" s="4">
        <f t="shared" si="0"/>
        <v>9</v>
      </c>
      <c r="B11" s="5" t="s">
        <v>41</v>
      </c>
      <c r="C11" s="4">
        <v>1</v>
      </c>
      <c r="D11" s="6">
        <v>1145</v>
      </c>
      <c r="E11" s="6">
        <v>1000</v>
      </c>
      <c r="F11" s="7" t="s">
        <v>23</v>
      </c>
      <c r="G11" s="6"/>
    </row>
    <row r="12" spans="1:7" x14ac:dyDescent="0.25">
      <c r="A12" s="4">
        <f t="shared" si="0"/>
        <v>10</v>
      </c>
      <c r="B12" s="5" t="s">
        <v>42</v>
      </c>
      <c r="C12" s="4">
        <v>60</v>
      </c>
      <c r="D12" s="6">
        <v>15</v>
      </c>
      <c r="E12" s="6">
        <v>11.95</v>
      </c>
      <c r="F12" s="7" t="s">
        <v>23</v>
      </c>
      <c r="G12" s="6"/>
    </row>
    <row r="13" spans="1:7" x14ac:dyDescent="0.25">
      <c r="A13" s="4">
        <f t="shared" si="0"/>
        <v>11</v>
      </c>
      <c r="B13" s="5" t="s">
        <v>43</v>
      </c>
      <c r="C13" s="4">
        <v>12</v>
      </c>
      <c r="D13" s="34">
        <v>60</v>
      </c>
      <c r="E13" s="6">
        <v>50.95</v>
      </c>
      <c r="F13" s="7" t="s">
        <v>23</v>
      </c>
      <c r="G13" s="6"/>
    </row>
    <row r="14" spans="1:7" x14ac:dyDescent="0.25">
      <c r="A14" s="4">
        <f t="shared" si="0"/>
        <v>12</v>
      </c>
      <c r="B14" s="5" t="s">
        <v>44</v>
      </c>
      <c r="C14" s="4">
        <v>2</v>
      </c>
      <c r="D14" s="6">
        <v>305</v>
      </c>
      <c r="E14" s="6">
        <v>236</v>
      </c>
      <c r="F14" s="7" t="s">
        <v>23</v>
      </c>
      <c r="G14" s="6"/>
    </row>
    <row r="15" spans="1:7" x14ac:dyDescent="0.25">
      <c r="A15" s="4">
        <f t="shared" si="0"/>
        <v>13</v>
      </c>
      <c r="B15" s="5" t="s">
        <v>46</v>
      </c>
      <c r="C15" s="4">
        <v>1</v>
      </c>
      <c r="D15" s="6">
        <v>985</v>
      </c>
      <c r="E15" s="6">
        <v>810</v>
      </c>
      <c r="F15" s="7" t="s">
        <v>23</v>
      </c>
      <c r="G15" s="6"/>
    </row>
    <row r="16" spans="1:7" x14ac:dyDescent="0.25">
      <c r="A16" s="35">
        <f t="shared" si="0"/>
        <v>14</v>
      </c>
      <c r="B16" s="5" t="s">
        <v>47</v>
      </c>
      <c r="C16" s="4">
        <v>12</v>
      </c>
      <c r="D16" s="6">
        <v>20</v>
      </c>
      <c r="E16" s="6">
        <v>15.95</v>
      </c>
      <c r="F16" s="7" t="s">
        <v>155</v>
      </c>
      <c r="G16" s="6">
        <f>E16/2</f>
        <v>7.9749999999999996</v>
      </c>
    </row>
    <row r="17" spans="1:7" x14ac:dyDescent="0.25">
      <c r="A17" s="35">
        <f t="shared" si="0"/>
        <v>15</v>
      </c>
      <c r="B17" s="5" t="s">
        <v>48</v>
      </c>
      <c r="C17" s="4">
        <v>60</v>
      </c>
      <c r="D17" s="34">
        <v>15</v>
      </c>
      <c r="E17" s="6">
        <v>11.95</v>
      </c>
      <c r="F17" s="7" t="s">
        <v>23</v>
      </c>
      <c r="G17" s="6"/>
    </row>
    <row r="18" spans="1:7" x14ac:dyDescent="0.25">
      <c r="A18" s="35">
        <f t="shared" si="0"/>
        <v>16</v>
      </c>
      <c r="B18" s="5" t="s">
        <v>49</v>
      </c>
      <c r="C18" s="4">
        <v>10</v>
      </c>
      <c r="D18" s="6">
        <v>25</v>
      </c>
      <c r="E18" s="6">
        <v>21.5</v>
      </c>
      <c r="F18" s="6" t="s">
        <v>162</v>
      </c>
      <c r="G18" s="6">
        <f>E18-2</f>
        <v>19.5</v>
      </c>
    </row>
    <row r="19" spans="1:7" x14ac:dyDescent="0.25">
      <c r="A19" s="35">
        <f t="shared" si="0"/>
        <v>17</v>
      </c>
      <c r="B19" s="5" t="s">
        <v>52</v>
      </c>
      <c r="C19" s="4">
        <v>10</v>
      </c>
      <c r="D19" s="6">
        <v>35</v>
      </c>
      <c r="E19" s="6">
        <v>30</v>
      </c>
      <c r="F19" s="6" t="s">
        <v>162</v>
      </c>
      <c r="G19" s="6">
        <f>E19-2</f>
        <v>28</v>
      </c>
    </row>
    <row r="20" spans="1:7" x14ac:dyDescent="0.25">
      <c r="A20" s="35">
        <f t="shared" si="0"/>
        <v>18</v>
      </c>
      <c r="B20" s="5" t="s">
        <v>54</v>
      </c>
      <c r="C20" s="4">
        <v>10</v>
      </c>
      <c r="D20" s="6">
        <v>15</v>
      </c>
      <c r="E20" s="6">
        <v>12.25</v>
      </c>
      <c r="F20" s="6" t="s">
        <v>162</v>
      </c>
      <c r="G20" s="6">
        <f>E20-2</f>
        <v>10.25</v>
      </c>
    </row>
    <row r="21" spans="1:7" x14ac:dyDescent="0.25">
      <c r="A21" s="35">
        <f t="shared" si="0"/>
        <v>19</v>
      </c>
      <c r="B21" s="5" t="s">
        <v>55</v>
      </c>
      <c r="C21" s="4">
        <v>12</v>
      </c>
      <c r="D21" s="6">
        <v>40</v>
      </c>
      <c r="E21" s="6">
        <v>32</v>
      </c>
      <c r="F21" s="6" t="s">
        <v>161</v>
      </c>
      <c r="G21" s="6">
        <f>E21-5</f>
        <v>27</v>
      </c>
    </row>
    <row r="22" spans="1:7" x14ac:dyDescent="0.25">
      <c r="A22" s="35">
        <f t="shared" si="0"/>
        <v>20</v>
      </c>
      <c r="B22" s="5" t="s">
        <v>59</v>
      </c>
      <c r="C22" s="4">
        <v>1</v>
      </c>
      <c r="D22" s="6">
        <v>110</v>
      </c>
      <c r="E22" s="6">
        <v>88</v>
      </c>
      <c r="F22" s="6" t="s">
        <v>163</v>
      </c>
      <c r="G22" s="6">
        <f>E22-10</f>
        <v>78</v>
      </c>
    </row>
    <row r="23" spans="1:7" x14ac:dyDescent="0.25">
      <c r="A23" s="35">
        <f t="shared" si="0"/>
        <v>21</v>
      </c>
      <c r="B23" s="5" t="s">
        <v>60</v>
      </c>
      <c r="C23" s="4">
        <v>1</v>
      </c>
      <c r="D23" s="6">
        <v>120</v>
      </c>
      <c r="E23" s="6">
        <v>96</v>
      </c>
      <c r="F23" s="6" t="s">
        <v>163</v>
      </c>
      <c r="G23" s="6">
        <f>E23-10</f>
        <v>86</v>
      </c>
    </row>
    <row r="24" spans="1:7" x14ac:dyDescent="0.25">
      <c r="A24" s="35">
        <f t="shared" si="0"/>
        <v>22</v>
      </c>
      <c r="B24" s="5" t="s">
        <v>61</v>
      </c>
      <c r="C24" s="4">
        <v>1</v>
      </c>
      <c r="D24" s="6">
        <v>395</v>
      </c>
      <c r="E24" s="6">
        <v>340</v>
      </c>
      <c r="F24" s="7" t="s">
        <v>23</v>
      </c>
      <c r="G24" s="6"/>
    </row>
    <row r="25" spans="1:7" x14ac:dyDescent="0.25">
      <c r="A25" s="35">
        <f t="shared" si="0"/>
        <v>23</v>
      </c>
      <c r="B25" s="5" t="s">
        <v>63</v>
      </c>
      <c r="C25" s="4">
        <v>5</v>
      </c>
      <c r="D25" s="6">
        <v>90</v>
      </c>
      <c r="E25" s="6">
        <v>75</v>
      </c>
      <c r="F25" s="6" t="s">
        <v>164</v>
      </c>
      <c r="G25" s="6">
        <f>E25-7</f>
        <v>68</v>
      </c>
    </row>
    <row r="26" spans="1:7" x14ac:dyDescent="0.25">
      <c r="A26" s="35">
        <f t="shared" si="0"/>
        <v>24</v>
      </c>
      <c r="B26" s="5" t="s">
        <v>66</v>
      </c>
      <c r="C26" s="4">
        <v>1</v>
      </c>
      <c r="D26" s="6">
        <v>200</v>
      </c>
      <c r="E26" s="6">
        <v>170</v>
      </c>
      <c r="F26" s="6" t="s">
        <v>165</v>
      </c>
      <c r="G26" s="6">
        <f>E26-15</f>
        <v>155</v>
      </c>
    </row>
    <row r="27" spans="1:7" x14ac:dyDescent="0.25">
      <c r="A27" s="35">
        <f t="shared" si="0"/>
        <v>25</v>
      </c>
      <c r="B27" s="5" t="s">
        <v>67</v>
      </c>
      <c r="C27" s="4">
        <v>1</v>
      </c>
      <c r="D27" s="6">
        <v>390</v>
      </c>
      <c r="E27" s="6">
        <v>330</v>
      </c>
      <c r="F27" s="7" t="s">
        <v>23</v>
      </c>
      <c r="G27" s="6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"/>
  <sheetViews>
    <sheetView zoomScaleNormal="100" workbookViewId="0">
      <selection activeCell="N3" sqref="N3"/>
    </sheetView>
  </sheetViews>
  <sheetFormatPr defaultColWidth="8.85546875" defaultRowHeight="15" x14ac:dyDescent="0.25"/>
  <cols>
    <col min="1" max="1" width="5.28515625" bestFit="1" customWidth="1"/>
    <col min="2" max="2" width="31.28515625" bestFit="1" customWidth="1"/>
    <col min="3" max="3" width="6.42578125" bestFit="1" customWidth="1"/>
    <col min="4" max="4" width="4.42578125" customWidth="1"/>
    <col min="5" max="6" width="8.7109375" bestFit="1" customWidth="1"/>
    <col min="7" max="7" width="4.7109375" bestFit="1" customWidth="1"/>
    <col min="8" max="8" width="7.85546875" bestFit="1" customWidth="1"/>
    <col min="9" max="9" width="5" bestFit="1" customWidth="1"/>
    <col min="10" max="10" width="11.28515625" customWidth="1"/>
    <col min="11" max="11" width="7.7109375" customWidth="1"/>
    <col min="12" max="13" width="9.140625"/>
    <col min="14" max="14" width="10.7109375" customWidth="1"/>
    <col min="15" max="15" width="11.140625" bestFit="1" customWidth="1"/>
    <col min="16" max="16" width="10.5703125" bestFit="1" customWidth="1"/>
    <col min="17" max="17" width="10.5703125" style="72" bestFit="1" customWidth="1"/>
    <col min="18" max="19" width="8.85546875" style="72"/>
    <col min="20" max="20" width="10" style="72" bestFit="1" customWidth="1"/>
    <col min="21" max="21" width="12" bestFit="1" customWidth="1"/>
  </cols>
  <sheetData>
    <row r="1" spans="1:21" x14ac:dyDescent="0.25">
      <c r="A1" s="81"/>
      <c r="B1" s="81"/>
      <c r="C1" s="149" t="s">
        <v>166</v>
      </c>
      <c r="D1" s="149"/>
      <c r="E1" s="149"/>
      <c r="F1" s="149"/>
      <c r="G1" s="149"/>
      <c r="H1" s="149"/>
      <c r="I1" s="149"/>
      <c r="J1" s="149"/>
      <c r="K1" s="157" t="s">
        <v>167</v>
      </c>
      <c r="L1" s="158"/>
      <c r="M1" s="158"/>
      <c r="N1" s="158"/>
      <c r="O1" s="158"/>
      <c r="Q1" s="92" t="s">
        <v>168</v>
      </c>
      <c r="R1" s="92" t="s">
        <v>169</v>
      </c>
      <c r="S1" s="92" t="s">
        <v>87</v>
      </c>
      <c r="T1" s="92" t="s">
        <v>170</v>
      </c>
      <c r="U1" t="s">
        <v>171</v>
      </c>
    </row>
    <row r="2" spans="1:21" ht="45" x14ac:dyDescent="0.25">
      <c r="A2" s="23" t="s">
        <v>4</v>
      </c>
      <c r="B2" s="23" t="s">
        <v>5</v>
      </c>
      <c r="C2" s="82" t="s">
        <v>172</v>
      </c>
      <c r="D2" s="23" t="s">
        <v>6</v>
      </c>
      <c r="E2" s="23" t="s">
        <v>173</v>
      </c>
      <c r="F2" s="82" t="s">
        <v>174</v>
      </c>
      <c r="G2" s="83" t="s">
        <v>175</v>
      </c>
      <c r="H2" s="82" t="s">
        <v>176</v>
      </c>
      <c r="I2" s="83" t="s">
        <v>177</v>
      </c>
      <c r="J2" s="37" t="s">
        <v>178</v>
      </c>
      <c r="K2" s="84" t="s">
        <v>179</v>
      </c>
      <c r="L2" s="91" t="s">
        <v>180</v>
      </c>
      <c r="M2" s="23" t="s">
        <v>8</v>
      </c>
      <c r="N2" s="85" t="s">
        <v>181</v>
      </c>
      <c r="O2" s="86" t="s">
        <v>182</v>
      </c>
      <c r="Q2" s="92" t="s">
        <v>7</v>
      </c>
      <c r="R2" s="92" t="s">
        <v>7</v>
      </c>
      <c r="S2" s="92" t="s">
        <v>7</v>
      </c>
      <c r="T2" s="92" t="s">
        <v>7</v>
      </c>
      <c r="U2" s="92" t="s">
        <v>7</v>
      </c>
    </row>
    <row r="3" spans="1:21" x14ac:dyDescent="0.25">
      <c r="A3" s="4">
        <v>1</v>
      </c>
      <c r="B3" s="5" t="s">
        <v>63</v>
      </c>
      <c r="C3" s="75">
        <v>0.05</v>
      </c>
      <c r="D3" s="4">
        <v>5</v>
      </c>
      <c r="E3" s="6">
        <v>90</v>
      </c>
      <c r="F3" s="6">
        <v>80</v>
      </c>
      <c r="G3" s="87">
        <f>(E3-F3)/F3</f>
        <v>0.125</v>
      </c>
      <c r="H3" s="6">
        <v>75</v>
      </c>
      <c r="I3" s="87">
        <f>(F3-H3)/H3</f>
        <v>6.6666666666666666E-2</v>
      </c>
      <c r="J3" s="34">
        <f>H3/1.05</f>
        <v>71.428571428571431</v>
      </c>
      <c r="K3" s="75">
        <v>0</v>
      </c>
      <c r="L3" s="6">
        <f>M3+(M3*G3)</f>
        <v>85.714285714285708</v>
      </c>
      <c r="M3" s="6">
        <f>N3+(N3*I3)</f>
        <v>76.19047619047619</v>
      </c>
      <c r="N3" s="6">
        <f>O3+(O3*0%)</f>
        <v>71.428571428571431</v>
      </c>
      <c r="O3" s="34">
        <v>71.428571428571431</v>
      </c>
      <c r="P3">
        <f>H3/1.05</f>
        <v>71.428571428571431</v>
      </c>
      <c r="Q3" s="92"/>
      <c r="R3" s="92"/>
      <c r="S3" s="92"/>
      <c r="T3" s="92"/>
      <c r="U3" s="92"/>
    </row>
    <row r="4" spans="1:21" x14ac:dyDescent="0.25">
      <c r="A4" s="4">
        <f>A3+1</f>
        <v>2</v>
      </c>
      <c r="B4" s="5" t="s">
        <v>66</v>
      </c>
      <c r="C4" s="75">
        <v>0.05</v>
      </c>
      <c r="D4" s="4">
        <v>1</v>
      </c>
      <c r="E4" s="6">
        <v>200</v>
      </c>
      <c r="F4" s="6">
        <v>180</v>
      </c>
      <c r="G4" s="87">
        <f t="shared" ref="G4:G20" si="0">(E4-F4)/F4</f>
        <v>0.1111111111111111</v>
      </c>
      <c r="H4" s="6">
        <v>170</v>
      </c>
      <c r="I4" s="87">
        <f t="shared" ref="I4:I20" si="1">(F4-H4)/H4</f>
        <v>5.8823529411764705E-2</v>
      </c>
      <c r="J4" s="34">
        <f t="shared" ref="J4:J9" si="2">H4/1.05</f>
        <v>161.9047619047619</v>
      </c>
      <c r="K4" s="75">
        <v>0</v>
      </c>
      <c r="L4" s="6">
        <f t="shared" ref="L4:L20" si="3">M4+(M4*G4)</f>
        <v>190.47619047619045</v>
      </c>
      <c r="M4" s="6">
        <f t="shared" ref="M4:M20" si="4">N4+(N4*I4)</f>
        <v>171.42857142857142</v>
      </c>
      <c r="N4" s="6">
        <f t="shared" ref="N4:N9" si="5">O4+(O4*0%)</f>
        <v>161.9047619047619</v>
      </c>
      <c r="O4" s="34">
        <v>161.9047619047619</v>
      </c>
      <c r="Q4" s="92"/>
      <c r="R4" s="92"/>
      <c r="S4" s="92"/>
      <c r="T4" s="92"/>
      <c r="U4" s="92"/>
    </row>
    <row r="5" spans="1:21" x14ac:dyDescent="0.25">
      <c r="A5" s="4">
        <f t="shared" ref="A5:A20" si="6">A4+1</f>
        <v>3</v>
      </c>
      <c r="B5" s="5" t="s">
        <v>67</v>
      </c>
      <c r="C5" s="75">
        <v>0.05</v>
      </c>
      <c r="D5" s="4">
        <v>1</v>
      </c>
      <c r="E5" s="6">
        <v>390</v>
      </c>
      <c r="F5" s="6">
        <v>340</v>
      </c>
      <c r="G5" s="87">
        <f t="shared" si="0"/>
        <v>0.14705882352941177</v>
      </c>
      <c r="H5" s="6">
        <v>330</v>
      </c>
      <c r="I5" s="87">
        <f t="shared" si="1"/>
        <v>3.0303030303030304E-2</v>
      </c>
      <c r="J5" s="34">
        <f t="shared" si="2"/>
        <v>314.28571428571428</v>
      </c>
      <c r="K5" s="75">
        <v>0</v>
      </c>
      <c r="L5" s="6">
        <f t="shared" si="3"/>
        <v>371.42857142857144</v>
      </c>
      <c r="M5" s="6">
        <f t="shared" si="4"/>
        <v>323.8095238095238</v>
      </c>
      <c r="N5" s="6">
        <f t="shared" si="5"/>
        <v>314.28571428571428</v>
      </c>
      <c r="O5" s="34">
        <v>314.28571428571428</v>
      </c>
      <c r="Q5" s="92"/>
      <c r="R5" s="92"/>
      <c r="S5" s="92"/>
      <c r="T5" s="92"/>
      <c r="U5" s="92"/>
    </row>
    <row r="6" spans="1:21" x14ac:dyDescent="0.25">
      <c r="A6" s="4">
        <f t="shared" si="6"/>
        <v>4</v>
      </c>
      <c r="B6" s="5" t="s">
        <v>81</v>
      </c>
      <c r="C6" s="75">
        <v>0.05</v>
      </c>
      <c r="D6" s="4">
        <v>12</v>
      </c>
      <c r="E6" s="6">
        <v>80</v>
      </c>
      <c r="F6" s="6">
        <v>69</v>
      </c>
      <c r="G6" s="87">
        <f t="shared" si="0"/>
        <v>0.15942028985507245</v>
      </c>
      <c r="H6" s="6">
        <v>66.5</v>
      </c>
      <c r="I6" s="87">
        <f t="shared" si="1"/>
        <v>3.7593984962406013E-2</v>
      </c>
      <c r="J6" s="34">
        <f t="shared" si="2"/>
        <v>63.333333333333329</v>
      </c>
      <c r="K6" s="75">
        <v>0</v>
      </c>
      <c r="L6" s="6">
        <f t="shared" si="3"/>
        <v>76.190476190476176</v>
      </c>
      <c r="M6" s="6">
        <f t="shared" si="4"/>
        <v>65.714285714285708</v>
      </c>
      <c r="N6" s="6">
        <f t="shared" si="5"/>
        <v>63.333333333333329</v>
      </c>
      <c r="O6" s="34">
        <v>63.333333333333329</v>
      </c>
      <c r="Q6" s="92"/>
      <c r="R6" s="92"/>
      <c r="S6" s="92"/>
      <c r="T6" s="92"/>
      <c r="U6" s="92"/>
    </row>
    <row r="7" spans="1:21" x14ac:dyDescent="0.25">
      <c r="A7" s="4">
        <f t="shared" si="6"/>
        <v>5</v>
      </c>
      <c r="B7" s="5" t="s">
        <v>83</v>
      </c>
      <c r="C7" s="75">
        <v>0.05</v>
      </c>
      <c r="D7" s="4">
        <v>12</v>
      </c>
      <c r="E7" s="6">
        <v>75</v>
      </c>
      <c r="F7" s="6">
        <v>65.75</v>
      </c>
      <c r="G7" s="87">
        <f t="shared" si="0"/>
        <v>0.14068441064638784</v>
      </c>
      <c r="H7" s="6">
        <v>62.5</v>
      </c>
      <c r="I7" s="87">
        <f t="shared" si="1"/>
        <v>5.1999999999999998E-2</v>
      </c>
      <c r="J7" s="34">
        <f t="shared" si="2"/>
        <v>59.523809523809518</v>
      </c>
      <c r="K7" s="75">
        <v>0</v>
      </c>
      <c r="L7" s="6">
        <f t="shared" si="3"/>
        <v>71.428571428571416</v>
      </c>
      <c r="M7" s="6">
        <f t="shared" si="4"/>
        <v>62.619047619047613</v>
      </c>
      <c r="N7" s="6">
        <f t="shared" si="5"/>
        <v>59.523809523809518</v>
      </c>
      <c r="O7" s="34">
        <v>59.523809523809518</v>
      </c>
      <c r="Q7" s="92"/>
      <c r="R7" s="92"/>
      <c r="S7" s="92"/>
      <c r="T7" s="92"/>
      <c r="U7" s="92"/>
    </row>
    <row r="8" spans="1:21" x14ac:dyDescent="0.25">
      <c r="A8" s="4">
        <f t="shared" si="6"/>
        <v>6</v>
      </c>
      <c r="B8" s="5" t="s">
        <v>84</v>
      </c>
      <c r="C8" s="75">
        <v>0.05</v>
      </c>
      <c r="D8" s="4">
        <v>30</v>
      </c>
      <c r="E8" s="6">
        <v>10</v>
      </c>
      <c r="F8" s="6">
        <v>8.5</v>
      </c>
      <c r="G8" s="87">
        <f t="shared" si="0"/>
        <v>0.17647058823529413</v>
      </c>
      <c r="H8" s="6">
        <v>8.1999999999999993</v>
      </c>
      <c r="I8" s="87">
        <f t="shared" si="1"/>
        <v>3.6585365853658625E-2</v>
      </c>
      <c r="J8" s="34">
        <f t="shared" si="2"/>
        <v>7.8095238095238084</v>
      </c>
      <c r="K8" s="75">
        <v>0</v>
      </c>
      <c r="L8" s="6">
        <f t="shared" si="3"/>
        <v>9.5238095238095237</v>
      </c>
      <c r="M8" s="6">
        <f t="shared" si="4"/>
        <v>8.0952380952380949</v>
      </c>
      <c r="N8" s="6">
        <f t="shared" si="5"/>
        <v>7.8095238095238084</v>
      </c>
      <c r="O8" s="34">
        <v>7.8095238095238084</v>
      </c>
      <c r="Q8" s="92"/>
      <c r="R8" s="92"/>
      <c r="S8" s="92"/>
      <c r="T8" s="92"/>
      <c r="U8" s="92"/>
    </row>
    <row r="9" spans="1:21" x14ac:dyDescent="0.25">
      <c r="A9" s="4">
        <f t="shared" si="6"/>
        <v>7</v>
      </c>
      <c r="B9" s="5" t="s">
        <v>85</v>
      </c>
      <c r="C9" s="75">
        <v>0.05</v>
      </c>
      <c r="D9" s="4">
        <v>24</v>
      </c>
      <c r="E9" s="6">
        <v>30</v>
      </c>
      <c r="F9" s="6">
        <v>27</v>
      </c>
      <c r="G9" s="87">
        <f t="shared" si="0"/>
        <v>0.1111111111111111</v>
      </c>
      <c r="H9" s="6">
        <v>26</v>
      </c>
      <c r="I9" s="87">
        <f t="shared" si="1"/>
        <v>3.8461538461538464E-2</v>
      </c>
      <c r="J9" s="34">
        <f t="shared" si="2"/>
        <v>24.761904761904759</v>
      </c>
      <c r="K9" s="75">
        <v>0</v>
      </c>
      <c r="L9" s="6">
        <f t="shared" si="3"/>
        <v>28.571428571428569</v>
      </c>
      <c r="M9" s="6">
        <f t="shared" si="4"/>
        <v>25.714285714285712</v>
      </c>
      <c r="N9" s="6">
        <f t="shared" si="5"/>
        <v>24.761904761904759</v>
      </c>
      <c r="O9" s="34">
        <v>24.761904761904759</v>
      </c>
      <c r="Q9" s="92"/>
      <c r="R9" s="92"/>
      <c r="S9" s="92"/>
      <c r="T9" s="92"/>
      <c r="U9" s="92"/>
    </row>
    <row r="10" spans="1:21" x14ac:dyDescent="0.25">
      <c r="A10" s="4">
        <f t="shared" si="6"/>
        <v>8</v>
      </c>
      <c r="B10" s="5" t="s">
        <v>70</v>
      </c>
      <c r="C10" s="75">
        <v>0.12</v>
      </c>
      <c r="D10" s="4">
        <v>90</v>
      </c>
      <c r="E10" s="38">
        <v>150</v>
      </c>
      <c r="F10" s="38">
        <v>135.13513513513513</v>
      </c>
      <c r="G10" s="87">
        <f t="shared" si="0"/>
        <v>0.11000000000000004</v>
      </c>
      <c r="H10" s="6">
        <v>129.93762993762994</v>
      </c>
      <c r="I10" s="87">
        <f t="shared" si="1"/>
        <v>3.9999999999999973E-2</v>
      </c>
      <c r="J10" s="34">
        <f>H10/1.12</f>
        <v>116.015741015741</v>
      </c>
      <c r="K10" s="75">
        <v>0.05</v>
      </c>
      <c r="L10" s="6">
        <f t="shared" si="3"/>
        <v>140.62499999999997</v>
      </c>
      <c r="M10" s="6">
        <f t="shared" si="4"/>
        <v>126.68918918918916</v>
      </c>
      <c r="N10" s="6">
        <f>O10+(O10*5%)</f>
        <v>121.81652806652805</v>
      </c>
      <c r="O10" s="34">
        <v>116.015741015741</v>
      </c>
      <c r="Q10" s="92"/>
      <c r="R10" s="92"/>
      <c r="S10" s="92"/>
      <c r="T10" s="92"/>
      <c r="U10" s="92"/>
    </row>
    <row r="11" spans="1:21" x14ac:dyDescent="0.25">
      <c r="A11" s="4">
        <f t="shared" si="6"/>
        <v>9</v>
      </c>
      <c r="B11" s="5" t="s">
        <v>72</v>
      </c>
      <c r="C11" s="75">
        <v>0.12</v>
      </c>
      <c r="D11" s="4">
        <v>36</v>
      </c>
      <c r="E11" s="38">
        <v>360</v>
      </c>
      <c r="F11" s="38">
        <v>324.32432432432432</v>
      </c>
      <c r="G11" s="87">
        <f t="shared" si="0"/>
        <v>0.11</v>
      </c>
      <c r="H11" s="6">
        <v>311.85031185031181</v>
      </c>
      <c r="I11" s="87">
        <f t="shared" si="1"/>
        <v>4.0000000000000126E-2</v>
      </c>
      <c r="J11" s="34">
        <f t="shared" ref="J11:J20" si="7">H11/1.12</f>
        <v>278.43777843777838</v>
      </c>
      <c r="K11" s="75">
        <v>0.05</v>
      </c>
      <c r="L11" s="6">
        <f t="shared" si="3"/>
        <v>337.49999999999994</v>
      </c>
      <c r="M11" s="6">
        <f t="shared" si="4"/>
        <v>304.05405405405401</v>
      </c>
      <c r="N11" s="6">
        <f t="shared" ref="N11:N20" si="8">O11+(O11*5%)</f>
        <v>292.3596673596673</v>
      </c>
      <c r="O11" s="34">
        <v>278.43777843777838</v>
      </c>
      <c r="Q11" s="92"/>
      <c r="R11" s="92"/>
      <c r="S11" s="92"/>
      <c r="T11" s="92"/>
      <c r="U11" s="92"/>
    </row>
    <row r="12" spans="1:21" x14ac:dyDescent="0.25">
      <c r="A12" s="4">
        <f t="shared" si="6"/>
        <v>10</v>
      </c>
      <c r="B12" s="5" t="s">
        <v>73</v>
      </c>
      <c r="C12" s="75">
        <v>0.12</v>
      </c>
      <c r="D12" s="4">
        <v>18</v>
      </c>
      <c r="E12" s="38">
        <v>710</v>
      </c>
      <c r="F12" s="38">
        <v>639.63963963963954</v>
      </c>
      <c r="G12" s="87">
        <f t="shared" si="0"/>
        <v>0.11000000000000017</v>
      </c>
      <c r="H12" s="6">
        <v>615.03811503811494</v>
      </c>
      <c r="I12" s="87">
        <f t="shared" si="1"/>
        <v>4.0000000000000008E-2</v>
      </c>
      <c r="J12" s="34">
        <f t="shared" si="7"/>
        <v>549.14117414117402</v>
      </c>
      <c r="K12" s="75">
        <v>0.05</v>
      </c>
      <c r="L12" s="6">
        <f t="shared" si="3"/>
        <v>665.62499999999989</v>
      </c>
      <c r="M12" s="6">
        <f t="shared" si="4"/>
        <v>599.66216216216196</v>
      </c>
      <c r="N12" s="6">
        <f t="shared" si="8"/>
        <v>576.59823284823267</v>
      </c>
      <c r="O12" s="34">
        <v>549.14117414117402</v>
      </c>
      <c r="Q12" s="92">
        <v>830</v>
      </c>
      <c r="R12" s="92"/>
      <c r="S12" s="92"/>
      <c r="T12" s="92">
        <v>899</v>
      </c>
      <c r="U12" s="92"/>
    </row>
    <row r="13" spans="1:21" x14ac:dyDescent="0.25">
      <c r="A13" s="4">
        <f t="shared" si="6"/>
        <v>11</v>
      </c>
      <c r="B13" s="5" t="s">
        <v>74</v>
      </c>
      <c r="C13" s="75">
        <v>0.12</v>
      </c>
      <c r="D13" s="4">
        <v>4</v>
      </c>
      <c r="E13" s="38">
        <v>3495</v>
      </c>
      <c r="F13" s="38">
        <v>3148.6486486486483</v>
      </c>
      <c r="G13" s="87">
        <f t="shared" si="0"/>
        <v>0.11000000000000013</v>
      </c>
      <c r="H13" s="6">
        <v>3027.5467775467773</v>
      </c>
      <c r="I13" s="87">
        <f t="shared" si="1"/>
        <v>3.9999999999999966E-2</v>
      </c>
      <c r="J13" s="34">
        <f t="shared" si="7"/>
        <v>2703.1667656667651</v>
      </c>
      <c r="K13" s="75">
        <v>0.05</v>
      </c>
      <c r="L13" s="6">
        <f t="shared" si="3"/>
        <v>3276.5624999999995</v>
      </c>
      <c r="M13" s="6">
        <f t="shared" si="4"/>
        <v>2951.8581081081074</v>
      </c>
      <c r="N13" s="6">
        <f t="shared" si="8"/>
        <v>2838.3251039501033</v>
      </c>
      <c r="O13" s="34">
        <v>2703.1667656667651</v>
      </c>
      <c r="Q13" s="92"/>
      <c r="R13" s="92"/>
      <c r="S13" s="92"/>
      <c r="T13" s="92"/>
      <c r="U13" s="92"/>
    </row>
    <row r="14" spans="1:21" x14ac:dyDescent="0.25">
      <c r="A14" s="4">
        <f t="shared" si="6"/>
        <v>12</v>
      </c>
      <c r="B14" s="5" t="s">
        <v>75</v>
      </c>
      <c r="C14" s="75">
        <v>0.12</v>
      </c>
      <c r="D14" s="4">
        <v>80</v>
      </c>
      <c r="E14" s="38">
        <v>150</v>
      </c>
      <c r="F14" s="38">
        <v>135.13513513513513</v>
      </c>
      <c r="G14" s="87">
        <f t="shared" si="0"/>
        <v>0.11000000000000004</v>
      </c>
      <c r="H14" s="6">
        <v>129.93762993762994</v>
      </c>
      <c r="I14" s="87">
        <f t="shared" si="1"/>
        <v>3.9999999999999973E-2</v>
      </c>
      <c r="J14" s="34">
        <f t="shared" si="7"/>
        <v>116.015741015741</v>
      </c>
      <c r="K14" s="75">
        <v>0.05</v>
      </c>
      <c r="L14" s="6">
        <f t="shared" si="3"/>
        <v>140.62499999999997</v>
      </c>
      <c r="M14" s="6">
        <f t="shared" si="4"/>
        <v>126.68918918918916</v>
      </c>
      <c r="N14" s="6">
        <f t="shared" si="8"/>
        <v>121.81652806652805</v>
      </c>
      <c r="O14" s="34">
        <v>116.015741015741</v>
      </c>
      <c r="Q14" s="92"/>
      <c r="R14" s="92"/>
      <c r="S14" s="92"/>
      <c r="T14" s="92"/>
      <c r="U14" s="92">
        <v>184</v>
      </c>
    </row>
    <row r="15" spans="1:21" x14ac:dyDescent="0.25">
      <c r="A15" s="4">
        <f t="shared" si="6"/>
        <v>13</v>
      </c>
      <c r="B15" s="5" t="s">
        <v>76</v>
      </c>
      <c r="C15" s="75">
        <v>0.12</v>
      </c>
      <c r="D15" s="4">
        <v>36</v>
      </c>
      <c r="E15" s="38">
        <v>360</v>
      </c>
      <c r="F15" s="38">
        <v>324.32432432432432</v>
      </c>
      <c r="G15" s="87">
        <f t="shared" si="0"/>
        <v>0.11</v>
      </c>
      <c r="H15" s="6">
        <v>311.85031185031181</v>
      </c>
      <c r="I15" s="87">
        <f t="shared" si="1"/>
        <v>4.0000000000000126E-2</v>
      </c>
      <c r="J15" s="34">
        <f t="shared" si="7"/>
        <v>278.43777843777838</v>
      </c>
      <c r="K15" s="75">
        <v>0.05</v>
      </c>
      <c r="L15" s="6">
        <f t="shared" si="3"/>
        <v>337.49999999999994</v>
      </c>
      <c r="M15" s="6">
        <f t="shared" si="4"/>
        <v>304.05405405405401</v>
      </c>
      <c r="N15" s="6">
        <f t="shared" si="8"/>
        <v>292.3596673596673</v>
      </c>
      <c r="O15" s="34">
        <v>278.43777843777838</v>
      </c>
      <c r="Q15" s="92"/>
      <c r="R15" s="92"/>
      <c r="S15" s="92"/>
      <c r="T15" s="92"/>
      <c r="U15" s="92">
        <v>365</v>
      </c>
    </row>
    <row r="16" spans="1:21" x14ac:dyDescent="0.25">
      <c r="A16" s="4">
        <f t="shared" si="6"/>
        <v>14</v>
      </c>
      <c r="B16" s="5" t="s">
        <v>77</v>
      </c>
      <c r="C16" s="75">
        <v>0.12</v>
      </c>
      <c r="D16" s="4">
        <v>18</v>
      </c>
      <c r="E16" s="38">
        <v>710</v>
      </c>
      <c r="F16" s="38">
        <v>639.63963963963954</v>
      </c>
      <c r="G16" s="87">
        <f t="shared" si="0"/>
        <v>0.11000000000000017</v>
      </c>
      <c r="H16" s="6">
        <v>615.03811503811494</v>
      </c>
      <c r="I16" s="87">
        <f t="shared" si="1"/>
        <v>4.0000000000000008E-2</v>
      </c>
      <c r="J16" s="34">
        <f t="shared" si="7"/>
        <v>549.14117414117402</v>
      </c>
      <c r="K16" s="75">
        <v>0.05</v>
      </c>
      <c r="L16" s="6">
        <f t="shared" si="3"/>
        <v>665.62499999999989</v>
      </c>
      <c r="M16" s="6">
        <f t="shared" si="4"/>
        <v>599.66216216216196</v>
      </c>
      <c r="N16" s="6">
        <f t="shared" si="8"/>
        <v>576.59823284823267</v>
      </c>
      <c r="O16" s="34">
        <v>549.14117414117402</v>
      </c>
      <c r="Q16" s="92"/>
      <c r="R16" s="92"/>
      <c r="S16" s="92"/>
      <c r="T16" s="92"/>
      <c r="U16" s="92">
        <v>720</v>
      </c>
    </row>
    <row r="17" spans="1:21" x14ac:dyDescent="0.25">
      <c r="A17" s="4">
        <f t="shared" si="6"/>
        <v>15</v>
      </c>
      <c r="B17" s="5" t="s">
        <v>78</v>
      </c>
      <c r="C17" s="75">
        <v>0.12</v>
      </c>
      <c r="D17" s="4">
        <v>18</v>
      </c>
      <c r="E17" s="38">
        <v>690</v>
      </c>
      <c r="F17" s="38">
        <v>621.62162162162156</v>
      </c>
      <c r="G17" s="87">
        <f t="shared" si="0"/>
        <v>0.11000000000000011</v>
      </c>
      <c r="H17" s="6">
        <v>597.71309771309768</v>
      </c>
      <c r="I17" s="87">
        <f t="shared" si="1"/>
        <v>3.9999999999999945E-2</v>
      </c>
      <c r="J17" s="34">
        <f t="shared" si="7"/>
        <v>533.67240867240855</v>
      </c>
      <c r="K17" s="75">
        <v>0.05</v>
      </c>
      <c r="L17" s="6">
        <f t="shared" si="3"/>
        <v>646.87499999999989</v>
      </c>
      <c r="M17" s="6">
        <f t="shared" si="4"/>
        <v>582.77027027027009</v>
      </c>
      <c r="N17" s="6">
        <f t="shared" si="8"/>
        <v>560.35602910602893</v>
      </c>
      <c r="O17" s="34">
        <v>533.67240867240855</v>
      </c>
      <c r="Q17" s="92"/>
      <c r="R17" s="92"/>
      <c r="S17" s="92">
        <v>685</v>
      </c>
      <c r="T17" s="92"/>
      <c r="U17" s="92">
        <v>685</v>
      </c>
    </row>
    <row r="18" spans="1:21" x14ac:dyDescent="0.25">
      <c r="A18" s="4">
        <f t="shared" si="6"/>
        <v>16</v>
      </c>
      <c r="B18" s="5" t="s">
        <v>80</v>
      </c>
      <c r="C18" s="75">
        <v>0.12</v>
      </c>
      <c r="D18" s="4">
        <v>18</v>
      </c>
      <c r="E18" s="38">
        <v>690</v>
      </c>
      <c r="F18" s="38">
        <v>621.62162162162156</v>
      </c>
      <c r="G18" s="87">
        <f t="shared" si="0"/>
        <v>0.11000000000000011</v>
      </c>
      <c r="H18" s="6">
        <v>597.71309771309768</v>
      </c>
      <c r="I18" s="87">
        <f t="shared" si="1"/>
        <v>3.9999999999999945E-2</v>
      </c>
      <c r="J18" s="34">
        <f t="shared" si="7"/>
        <v>533.67240867240855</v>
      </c>
      <c r="K18" s="75">
        <v>0.05</v>
      </c>
      <c r="L18" s="6">
        <f t="shared" si="3"/>
        <v>646.87499999999989</v>
      </c>
      <c r="M18" s="6">
        <f t="shared" si="4"/>
        <v>582.77027027027009</v>
      </c>
      <c r="N18" s="6">
        <f t="shared" si="8"/>
        <v>560.35602910602893</v>
      </c>
      <c r="O18" s="34">
        <v>533.67240867240855</v>
      </c>
      <c r="Q18" s="92"/>
      <c r="R18" s="92">
        <v>795</v>
      </c>
      <c r="S18" s="92">
        <v>650</v>
      </c>
      <c r="T18" s="92"/>
      <c r="U18" s="92">
        <v>675</v>
      </c>
    </row>
    <row r="19" spans="1:21" x14ac:dyDescent="0.25">
      <c r="A19" s="4">
        <f t="shared" si="6"/>
        <v>17</v>
      </c>
      <c r="B19" s="5" t="s">
        <v>99</v>
      </c>
      <c r="C19" s="75">
        <v>0.12</v>
      </c>
      <c r="D19" s="4">
        <v>18</v>
      </c>
      <c r="E19" s="38">
        <v>640</v>
      </c>
      <c r="F19" s="38">
        <v>576.57657657657649</v>
      </c>
      <c r="G19" s="87">
        <f t="shared" si="0"/>
        <v>0.11000000000000018</v>
      </c>
      <c r="H19" s="6">
        <v>554.40055440055426</v>
      </c>
      <c r="I19" s="87">
        <f t="shared" si="1"/>
        <v>4.0000000000000105E-2</v>
      </c>
      <c r="J19" s="34">
        <f t="shared" si="7"/>
        <v>495.00049500049482</v>
      </c>
      <c r="K19" s="75">
        <v>0.05</v>
      </c>
      <c r="L19" s="6">
        <f t="shared" si="3"/>
        <v>600</v>
      </c>
      <c r="M19" s="6">
        <f t="shared" si="4"/>
        <v>540.54054054054041</v>
      </c>
      <c r="N19" s="6">
        <f t="shared" si="8"/>
        <v>519.75051975051952</v>
      </c>
      <c r="O19" s="34">
        <v>495.00049500049482</v>
      </c>
      <c r="Q19" s="92"/>
      <c r="R19" s="92"/>
      <c r="S19" s="92"/>
      <c r="T19" s="92"/>
      <c r="U19" s="92"/>
    </row>
    <row r="20" spans="1:21" x14ac:dyDescent="0.25">
      <c r="A20" s="4">
        <f t="shared" si="6"/>
        <v>18</v>
      </c>
      <c r="B20" s="5" t="s">
        <v>100</v>
      </c>
      <c r="C20" s="75">
        <v>0.12</v>
      </c>
      <c r="D20" s="4">
        <v>18</v>
      </c>
      <c r="E20" s="38">
        <v>640</v>
      </c>
      <c r="F20" s="38">
        <v>576.57657657657649</v>
      </c>
      <c r="G20" s="87">
        <f t="shared" si="0"/>
        <v>0.11000000000000018</v>
      </c>
      <c r="H20" s="6">
        <v>554.40055440055426</v>
      </c>
      <c r="I20" s="87">
        <f t="shared" si="1"/>
        <v>4.0000000000000105E-2</v>
      </c>
      <c r="J20" s="34">
        <f t="shared" si="7"/>
        <v>495.00049500049482</v>
      </c>
      <c r="K20" s="75">
        <v>0.05</v>
      </c>
      <c r="L20" s="6">
        <f t="shared" si="3"/>
        <v>600</v>
      </c>
      <c r="M20" s="6">
        <f t="shared" si="4"/>
        <v>540.54054054054041</v>
      </c>
      <c r="N20" s="6">
        <f t="shared" si="8"/>
        <v>519.75051975051952</v>
      </c>
      <c r="O20" s="34">
        <v>495.00049500049482</v>
      </c>
      <c r="Q20" s="92"/>
      <c r="R20" s="92"/>
      <c r="S20" s="92"/>
      <c r="T20" s="92"/>
      <c r="U20" s="92"/>
    </row>
    <row r="21" spans="1:21" x14ac:dyDescent="0.25">
      <c r="A21" s="72">
        <v>19</v>
      </c>
      <c r="B21" s="88" t="s">
        <v>183</v>
      </c>
      <c r="K21" s="89">
        <v>0.05</v>
      </c>
      <c r="L21" s="90">
        <v>20</v>
      </c>
    </row>
  </sheetData>
  <mergeCells count="2">
    <mergeCell ref="C1:J1"/>
    <mergeCell ref="K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8"/>
  <sheetViews>
    <sheetView workbookViewId="0">
      <selection activeCell="B3" sqref="B3"/>
    </sheetView>
  </sheetViews>
  <sheetFormatPr defaultRowHeight="15" x14ac:dyDescent="0.25"/>
  <cols>
    <col min="1" max="1" width="14.42578125" bestFit="1" customWidth="1"/>
    <col min="2" max="2" width="21.140625" bestFit="1" customWidth="1"/>
    <col min="3" max="3" width="10.140625" customWidth="1"/>
    <col min="4" max="4" width="10.28515625" customWidth="1"/>
    <col min="7" max="8" width="9.42578125" bestFit="1" customWidth="1"/>
    <col min="11" max="11" width="9.42578125" bestFit="1" customWidth="1"/>
    <col min="12" max="12" width="15.42578125" bestFit="1" customWidth="1"/>
    <col min="15" max="16" width="9.42578125" bestFit="1" customWidth="1"/>
  </cols>
  <sheetData>
    <row r="1" spans="1:18" x14ac:dyDescent="0.25">
      <c r="A1" s="161" t="s">
        <v>184</v>
      </c>
      <c r="B1" s="162"/>
      <c r="C1" s="163" t="s">
        <v>101</v>
      </c>
      <c r="D1" s="162"/>
      <c r="E1" s="163" t="s">
        <v>86</v>
      </c>
      <c r="F1" s="162"/>
      <c r="G1" s="163" t="s">
        <v>185</v>
      </c>
      <c r="H1" s="162"/>
      <c r="I1" s="163" t="s">
        <v>168</v>
      </c>
      <c r="J1" s="162"/>
      <c r="K1" s="163" t="s">
        <v>87</v>
      </c>
      <c r="L1" s="162"/>
      <c r="M1" s="163" t="s">
        <v>169</v>
      </c>
      <c r="N1" s="162"/>
      <c r="O1" s="163" t="s">
        <v>186</v>
      </c>
      <c r="P1" s="162"/>
      <c r="Q1" s="163" t="s">
        <v>187</v>
      </c>
      <c r="R1" s="162"/>
    </row>
    <row r="2" spans="1:18" x14ac:dyDescent="0.25">
      <c r="A2" s="95" t="s">
        <v>62</v>
      </c>
      <c r="B2" s="93" t="s">
        <v>113</v>
      </c>
      <c r="C2" s="94" t="s">
        <v>7</v>
      </c>
      <c r="D2" s="94" t="s">
        <v>188</v>
      </c>
      <c r="E2" s="94" t="s">
        <v>7</v>
      </c>
      <c r="F2" s="94" t="s">
        <v>188</v>
      </c>
      <c r="G2" s="94" t="s">
        <v>7</v>
      </c>
      <c r="H2" s="94" t="s">
        <v>188</v>
      </c>
      <c r="I2" s="94" t="s">
        <v>7</v>
      </c>
      <c r="J2" s="94" t="s">
        <v>188</v>
      </c>
      <c r="K2" s="94" t="s">
        <v>7</v>
      </c>
      <c r="L2" s="94" t="s">
        <v>188</v>
      </c>
      <c r="M2" s="94" t="s">
        <v>7</v>
      </c>
      <c r="N2" s="94" t="s">
        <v>188</v>
      </c>
      <c r="O2" s="94" t="s">
        <v>7</v>
      </c>
      <c r="P2" s="94" t="s">
        <v>188</v>
      </c>
      <c r="Q2" s="94" t="s">
        <v>7</v>
      </c>
      <c r="R2" s="94" t="s">
        <v>188</v>
      </c>
    </row>
    <row r="3" spans="1:18" x14ac:dyDescent="0.25">
      <c r="A3" s="102"/>
      <c r="B3" s="93" t="s">
        <v>189</v>
      </c>
      <c r="C3" s="103">
        <v>150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1:18" x14ac:dyDescent="0.25">
      <c r="A4" s="159" t="s">
        <v>190</v>
      </c>
      <c r="B4" s="93" t="s">
        <v>191</v>
      </c>
      <c r="C4" s="96">
        <v>360</v>
      </c>
      <c r="D4" s="96"/>
      <c r="E4" s="96">
        <v>360</v>
      </c>
      <c r="F4" s="96">
        <v>309</v>
      </c>
      <c r="G4" s="96" t="s">
        <v>62</v>
      </c>
      <c r="H4" s="96" t="s">
        <v>62</v>
      </c>
      <c r="I4" s="97">
        <v>415</v>
      </c>
      <c r="J4" s="97">
        <v>373</v>
      </c>
      <c r="K4" s="96" t="s">
        <v>62</v>
      </c>
      <c r="L4" s="96" t="s">
        <v>62</v>
      </c>
      <c r="M4" s="96" t="s">
        <v>62</v>
      </c>
      <c r="N4" s="96" t="s">
        <v>62</v>
      </c>
      <c r="O4" s="96" t="s">
        <v>62</v>
      </c>
      <c r="P4" s="96" t="s">
        <v>62</v>
      </c>
      <c r="Q4" s="96" t="s">
        <v>62</v>
      </c>
      <c r="R4" s="96" t="s">
        <v>62</v>
      </c>
    </row>
    <row r="5" spans="1:18" x14ac:dyDescent="0.25">
      <c r="A5" s="159"/>
      <c r="B5" s="93" t="s">
        <v>192</v>
      </c>
      <c r="C5" s="96">
        <v>710</v>
      </c>
      <c r="D5" s="96"/>
      <c r="E5" s="96">
        <v>710</v>
      </c>
      <c r="F5" s="96">
        <v>599</v>
      </c>
      <c r="G5" s="96" t="s">
        <v>62</v>
      </c>
      <c r="H5" s="96" t="s">
        <v>62</v>
      </c>
      <c r="I5" s="97">
        <v>830</v>
      </c>
      <c r="J5" s="97">
        <v>755</v>
      </c>
      <c r="K5" s="96" t="s">
        <v>62</v>
      </c>
      <c r="L5" s="96" t="s">
        <v>62</v>
      </c>
      <c r="M5" s="96" t="s">
        <v>62</v>
      </c>
      <c r="N5" s="96" t="s">
        <v>62</v>
      </c>
      <c r="O5" s="96" t="s">
        <v>62</v>
      </c>
      <c r="P5" s="96" t="s">
        <v>62</v>
      </c>
      <c r="Q5" s="96" t="s">
        <v>62</v>
      </c>
      <c r="R5" s="96" t="s">
        <v>62</v>
      </c>
    </row>
    <row r="6" spans="1:18" x14ac:dyDescent="0.25">
      <c r="A6" s="160"/>
      <c r="B6" s="93" t="s">
        <v>193</v>
      </c>
      <c r="C6" s="96">
        <v>3595</v>
      </c>
      <c r="D6" s="96"/>
      <c r="E6" s="96" t="s">
        <v>62</v>
      </c>
      <c r="F6" s="96" t="s">
        <v>62</v>
      </c>
      <c r="G6" s="96" t="s">
        <v>62</v>
      </c>
      <c r="H6" s="96" t="s">
        <v>62</v>
      </c>
      <c r="I6" s="96" t="s">
        <v>62</v>
      </c>
      <c r="J6" s="96" t="s">
        <v>62</v>
      </c>
      <c r="K6" s="96" t="s">
        <v>62</v>
      </c>
      <c r="L6" s="96" t="s">
        <v>62</v>
      </c>
      <c r="M6" s="96" t="s">
        <v>62</v>
      </c>
      <c r="N6" s="96" t="s">
        <v>62</v>
      </c>
      <c r="O6" s="96">
        <v>3800</v>
      </c>
      <c r="P6" s="96">
        <v>2999</v>
      </c>
      <c r="Q6" s="96" t="s">
        <v>62</v>
      </c>
      <c r="R6" s="96" t="s">
        <v>62</v>
      </c>
    </row>
    <row r="7" spans="1:18" x14ac:dyDescent="0.25">
      <c r="A7" s="102"/>
      <c r="B7" s="93" t="s">
        <v>194</v>
      </c>
      <c r="C7" s="96">
        <v>150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</row>
    <row r="8" spans="1:18" x14ac:dyDescent="0.25">
      <c r="A8" s="159" t="s">
        <v>195</v>
      </c>
      <c r="B8" s="93" t="s">
        <v>196</v>
      </c>
      <c r="C8" s="96">
        <v>360</v>
      </c>
      <c r="D8" s="96"/>
      <c r="E8" s="98">
        <v>360</v>
      </c>
      <c r="F8" s="99">
        <v>305</v>
      </c>
      <c r="G8" s="96" t="s">
        <v>62</v>
      </c>
      <c r="H8" s="96" t="s">
        <v>62</v>
      </c>
      <c r="I8" s="96" t="s">
        <v>62</v>
      </c>
      <c r="J8" s="96" t="s">
        <v>62</v>
      </c>
      <c r="K8" s="96" t="s">
        <v>62</v>
      </c>
      <c r="L8" s="96" t="s">
        <v>62</v>
      </c>
      <c r="M8" s="96" t="s">
        <v>62</v>
      </c>
      <c r="N8" s="96" t="s">
        <v>62</v>
      </c>
      <c r="O8" s="96" t="s">
        <v>62</v>
      </c>
      <c r="P8" s="96" t="s">
        <v>62</v>
      </c>
      <c r="Q8" s="96" t="s">
        <v>62</v>
      </c>
      <c r="R8" s="96" t="s">
        <v>62</v>
      </c>
    </row>
    <row r="9" spans="1:18" x14ac:dyDescent="0.25">
      <c r="A9" s="159"/>
      <c r="B9" s="93" t="s">
        <v>197</v>
      </c>
      <c r="C9" s="96">
        <v>710</v>
      </c>
      <c r="D9" s="96"/>
      <c r="E9" s="100">
        <v>710</v>
      </c>
      <c r="F9" s="97">
        <v>599</v>
      </c>
      <c r="G9" s="96" t="s">
        <v>62</v>
      </c>
      <c r="H9" s="96" t="s">
        <v>62</v>
      </c>
      <c r="I9" s="96">
        <v>789</v>
      </c>
      <c r="J9" s="96">
        <v>754</v>
      </c>
      <c r="K9" s="96" t="s">
        <v>62</v>
      </c>
      <c r="L9" s="96" t="s">
        <v>62</v>
      </c>
      <c r="M9" s="96" t="s">
        <v>62</v>
      </c>
      <c r="N9" s="96" t="s">
        <v>62</v>
      </c>
      <c r="O9" s="96" t="s">
        <v>62</v>
      </c>
      <c r="P9" s="96" t="s">
        <v>62</v>
      </c>
      <c r="Q9" s="97">
        <v>899</v>
      </c>
      <c r="R9" s="97">
        <v>639</v>
      </c>
    </row>
    <row r="10" spans="1:18" x14ac:dyDescent="0.25">
      <c r="A10" s="160"/>
      <c r="B10" s="93" t="s">
        <v>198</v>
      </c>
      <c r="C10" s="96" t="s">
        <v>62</v>
      </c>
      <c r="D10" s="96" t="s">
        <v>62</v>
      </c>
      <c r="E10" s="96" t="s">
        <v>62</v>
      </c>
      <c r="F10" s="96" t="s">
        <v>62</v>
      </c>
      <c r="G10" s="96" t="s">
        <v>62</v>
      </c>
      <c r="H10" s="96" t="s">
        <v>62</v>
      </c>
      <c r="I10" s="96" t="s">
        <v>62</v>
      </c>
      <c r="J10" s="96" t="s">
        <v>62</v>
      </c>
      <c r="K10" s="96" t="s">
        <v>62</v>
      </c>
      <c r="L10" s="96" t="s">
        <v>62</v>
      </c>
      <c r="M10" s="96" t="s">
        <v>62</v>
      </c>
      <c r="N10" s="96" t="s">
        <v>62</v>
      </c>
      <c r="O10" s="96" t="s">
        <v>62</v>
      </c>
      <c r="P10" s="96" t="s">
        <v>62</v>
      </c>
      <c r="Q10" s="96" t="s">
        <v>62</v>
      </c>
      <c r="R10" s="96" t="s">
        <v>62</v>
      </c>
    </row>
    <row r="11" spans="1:18" x14ac:dyDescent="0.25">
      <c r="A11" s="159" t="s">
        <v>199</v>
      </c>
      <c r="B11" s="93" t="s">
        <v>200</v>
      </c>
      <c r="C11" s="96" t="s">
        <v>62</v>
      </c>
      <c r="D11" s="96" t="s">
        <v>62</v>
      </c>
      <c r="E11" s="96" t="s">
        <v>62</v>
      </c>
      <c r="F11" s="96" t="s">
        <v>62</v>
      </c>
      <c r="G11" s="96" t="s">
        <v>62</v>
      </c>
      <c r="H11" s="96" t="s">
        <v>62</v>
      </c>
      <c r="I11" s="96" t="s">
        <v>62</v>
      </c>
      <c r="J11" s="96" t="s">
        <v>62</v>
      </c>
      <c r="K11" s="96" t="s">
        <v>62</v>
      </c>
      <c r="L11" s="96" t="s">
        <v>62</v>
      </c>
      <c r="M11" s="96" t="s">
        <v>62</v>
      </c>
      <c r="N11" s="96" t="s">
        <v>62</v>
      </c>
      <c r="O11" s="96">
        <v>121</v>
      </c>
      <c r="P11" s="96">
        <v>108</v>
      </c>
      <c r="Q11" s="96" t="s">
        <v>62</v>
      </c>
      <c r="R11" s="96" t="s">
        <v>62</v>
      </c>
    </row>
    <row r="12" spans="1:18" x14ac:dyDescent="0.25">
      <c r="A12" s="159"/>
      <c r="B12" s="93" t="s">
        <v>201</v>
      </c>
      <c r="C12" s="96" t="s">
        <v>62</v>
      </c>
      <c r="D12" s="96" t="s">
        <v>62</v>
      </c>
      <c r="E12" s="96" t="s">
        <v>62</v>
      </c>
      <c r="F12" s="96" t="s">
        <v>62</v>
      </c>
      <c r="G12" s="96">
        <v>373</v>
      </c>
      <c r="H12" s="96">
        <v>333</v>
      </c>
      <c r="I12" s="96" t="s">
        <v>62</v>
      </c>
      <c r="J12" s="96" t="s">
        <v>62</v>
      </c>
      <c r="K12" s="96" t="s">
        <v>62</v>
      </c>
      <c r="L12" s="96" t="s">
        <v>62</v>
      </c>
      <c r="M12" s="97">
        <v>390</v>
      </c>
      <c r="N12" s="97">
        <v>355</v>
      </c>
      <c r="O12" s="96" t="s">
        <v>62</v>
      </c>
      <c r="P12" s="96" t="s">
        <v>62</v>
      </c>
      <c r="Q12" s="96" t="s">
        <v>62</v>
      </c>
      <c r="R12" s="96" t="s">
        <v>62</v>
      </c>
    </row>
    <row r="13" spans="1:18" x14ac:dyDescent="0.25">
      <c r="A13" s="159"/>
      <c r="B13" s="93" t="s">
        <v>202</v>
      </c>
      <c r="C13" s="96">
        <v>640</v>
      </c>
      <c r="D13" s="96"/>
      <c r="E13" s="96"/>
      <c r="F13" s="96"/>
      <c r="G13" s="96"/>
      <c r="H13" s="96"/>
      <c r="I13" s="96"/>
      <c r="J13" s="96"/>
      <c r="K13" s="96"/>
      <c r="L13" s="96"/>
      <c r="M13" s="97"/>
      <c r="N13" s="97"/>
      <c r="O13" s="96"/>
      <c r="P13" s="96"/>
      <c r="Q13" s="96"/>
      <c r="R13" s="96"/>
    </row>
    <row r="14" spans="1:18" x14ac:dyDescent="0.25">
      <c r="A14" s="159"/>
      <c r="B14" s="93" t="s">
        <v>203</v>
      </c>
      <c r="C14" s="96">
        <v>690</v>
      </c>
      <c r="D14" s="96" t="s">
        <v>62</v>
      </c>
      <c r="E14" s="96" t="s">
        <v>62</v>
      </c>
      <c r="F14" s="96" t="s">
        <v>62</v>
      </c>
      <c r="G14" s="96">
        <v>725</v>
      </c>
      <c r="H14" s="96">
        <v>648</v>
      </c>
      <c r="I14" s="96" t="s">
        <v>62</v>
      </c>
      <c r="J14" s="96" t="s">
        <v>62</v>
      </c>
      <c r="K14" s="101">
        <v>650</v>
      </c>
      <c r="L14" s="101" t="s">
        <v>204</v>
      </c>
      <c r="M14" s="97">
        <v>795</v>
      </c>
      <c r="N14" s="97">
        <v>725</v>
      </c>
      <c r="O14" s="96" t="s">
        <v>62</v>
      </c>
      <c r="P14" s="96" t="s">
        <v>62</v>
      </c>
      <c r="Q14" s="96" t="s">
        <v>62</v>
      </c>
      <c r="R14" s="96" t="s">
        <v>62</v>
      </c>
    </row>
    <row r="15" spans="1:18" x14ac:dyDescent="0.25">
      <c r="A15" s="160"/>
      <c r="B15" s="93" t="s">
        <v>205</v>
      </c>
      <c r="C15" s="96" t="s">
        <v>62</v>
      </c>
      <c r="D15" s="96" t="s">
        <v>62</v>
      </c>
      <c r="E15" s="96" t="s">
        <v>62</v>
      </c>
      <c r="F15" s="96" t="s">
        <v>62</v>
      </c>
      <c r="G15" s="96" t="s">
        <v>62</v>
      </c>
      <c r="H15" s="96" t="s">
        <v>62</v>
      </c>
      <c r="I15" s="96" t="s">
        <v>62</v>
      </c>
      <c r="J15" s="96" t="s">
        <v>62</v>
      </c>
      <c r="K15" s="96" t="s">
        <v>62</v>
      </c>
      <c r="L15" s="96" t="s">
        <v>62</v>
      </c>
      <c r="M15" s="96" t="s">
        <v>62</v>
      </c>
      <c r="N15" s="96" t="s">
        <v>62</v>
      </c>
      <c r="O15" s="96" t="s">
        <v>62</v>
      </c>
      <c r="P15" s="96" t="s">
        <v>62</v>
      </c>
      <c r="Q15" s="96" t="s">
        <v>62</v>
      </c>
      <c r="R15" s="96" t="s">
        <v>62</v>
      </c>
    </row>
    <row r="16" spans="1:18" x14ac:dyDescent="0.25">
      <c r="A16" s="159" t="s">
        <v>206</v>
      </c>
      <c r="B16" s="93" t="s">
        <v>207</v>
      </c>
      <c r="C16" s="96" t="s">
        <v>62</v>
      </c>
      <c r="D16" s="96" t="s">
        <v>62</v>
      </c>
      <c r="E16" s="96" t="s">
        <v>62</v>
      </c>
      <c r="F16" s="96" t="s">
        <v>62</v>
      </c>
      <c r="G16" s="96" t="s">
        <v>62</v>
      </c>
      <c r="H16" s="96" t="s">
        <v>62</v>
      </c>
      <c r="I16" s="96" t="s">
        <v>62</v>
      </c>
      <c r="J16" s="96" t="s">
        <v>62</v>
      </c>
      <c r="K16" s="96" t="s">
        <v>62</v>
      </c>
      <c r="L16" s="96" t="s">
        <v>62</v>
      </c>
      <c r="M16" s="96">
        <v>370</v>
      </c>
      <c r="N16" s="96">
        <v>340</v>
      </c>
      <c r="O16" s="96" t="s">
        <v>62</v>
      </c>
      <c r="P16" s="96" t="s">
        <v>62</v>
      </c>
      <c r="Q16" s="96" t="s">
        <v>62</v>
      </c>
      <c r="R16" s="96" t="s">
        <v>62</v>
      </c>
    </row>
    <row r="17" spans="1:18" x14ac:dyDescent="0.25">
      <c r="A17" s="159"/>
      <c r="B17" s="93" t="s">
        <v>208</v>
      </c>
      <c r="C17" s="96" t="s">
        <v>62</v>
      </c>
      <c r="D17" s="96" t="s">
        <v>62</v>
      </c>
      <c r="E17" s="96" t="s">
        <v>62</v>
      </c>
      <c r="F17" s="96" t="s">
        <v>62</v>
      </c>
      <c r="G17" s="96" t="s">
        <v>62</v>
      </c>
      <c r="H17" s="96" t="s">
        <v>62</v>
      </c>
      <c r="I17" s="96">
        <v>390</v>
      </c>
      <c r="J17" s="96">
        <v>363</v>
      </c>
      <c r="K17" s="96" t="s">
        <v>62</v>
      </c>
      <c r="L17" s="96" t="s">
        <v>62</v>
      </c>
      <c r="M17" s="96" t="s">
        <v>62</v>
      </c>
      <c r="N17" s="96" t="s">
        <v>62</v>
      </c>
      <c r="O17" s="96" t="s">
        <v>62</v>
      </c>
      <c r="P17" s="96" t="s">
        <v>62</v>
      </c>
      <c r="Q17" s="96" t="s">
        <v>62</v>
      </c>
      <c r="R17" s="96" t="s">
        <v>62</v>
      </c>
    </row>
    <row r="18" spans="1:18" x14ac:dyDescent="0.25">
      <c r="A18" s="159"/>
      <c r="B18" s="93" t="s">
        <v>209</v>
      </c>
      <c r="C18" s="96">
        <v>640</v>
      </c>
      <c r="D18" s="96" t="s">
        <v>62</v>
      </c>
      <c r="E18" s="96" t="s">
        <v>62</v>
      </c>
      <c r="F18" s="96" t="s">
        <v>62</v>
      </c>
      <c r="G18" s="96" t="s">
        <v>62</v>
      </c>
      <c r="H18" s="96" t="s">
        <v>62</v>
      </c>
      <c r="I18" s="96" t="s">
        <v>62</v>
      </c>
      <c r="J18" s="96" t="s">
        <v>62</v>
      </c>
      <c r="K18" s="96" t="s">
        <v>62</v>
      </c>
      <c r="L18" s="96" t="s">
        <v>62</v>
      </c>
      <c r="M18" s="96">
        <v>695</v>
      </c>
      <c r="N18" s="96">
        <v>640</v>
      </c>
      <c r="O18" s="96" t="s">
        <v>62</v>
      </c>
      <c r="P18" s="96" t="s">
        <v>62</v>
      </c>
      <c r="Q18" s="96" t="s">
        <v>62</v>
      </c>
      <c r="R18" s="96" t="s">
        <v>62</v>
      </c>
    </row>
    <row r="19" spans="1:18" x14ac:dyDescent="0.25">
      <c r="A19" s="159"/>
      <c r="B19" s="93" t="s">
        <v>210</v>
      </c>
      <c r="C19" s="96">
        <v>690</v>
      </c>
      <c r="D19" s="96" t="s">
        <v>62</v>
      </c>
      <c r="E19" s="96" t="s">
        <v>62</v>
      </c>
      <c r="F19" s="96" t="s">
        <v>62</v>
      </c>
      <c r="G19" s="96" t="s">
        <v>62</v>
      </c>
      <c r="H19" s="96" t="s">
        <v>62</v>
      </c>
      <c r="I19" s="96">
        <v>750</v>
      </c>
      <c r="J19" s="96">
        <v>707</v>
      </c>
      <c r="K19" s="101">
        <v>685</v>
      </c>
      <c r="L19" s="101" t="s">
        <v>211</v>
      </c>
      <c r="M19" s="96" t="s">
        <v>62</v>
      </c>
      <c r="N19" s="96" t="s">
        <v>62</v>
      </c>
      <c r="O19" s="96" t="s">
        <v>62</v>
      </c>
      <c r="P19" s="96" t="s">
        <v>62</v>
      </c>
      <c r="Q19" s="96" t="s">
        <v>62</v>
      </c>
      <c r="R19" s="96" t="s">
        <v>62</v>
      </c>
    </row>
    <row r="20" spans="1:18" x14ac:dyDescent="0.25">
      <c r="A20" s="160"/>
      <c r="B20" s="93" t="s">
        <v>212</v>
      </c>
      <c r="C20" s="96" t="s">
        <v>62</v>
      </c>
      <c r="D20" s="96" t="s">
        <v>62</v>
      </c>
      <c r="E20" s="96" t="s">
        <v>62</v>
      </c>
      <c r="F20" s="96" t="s">
        <v>62</v>
      </c>
      <c r="G20" s="96" t="s">
        <v>62</v>
      </c>
      <c r="H20" s="96" t="s">
        <v>62</v>
      </c>
      <c r="I20" s="96" t="s">
        <v>62</v>
      </c>
      <c r="J20" s="96" t="s">
        <v>62</v>
      </c>
      <c r="K20" s="96" t="s">
        <v>62</v>
      </c>
      <c r="L20" s="96" t="s">
        <v>62</v>
      </c>
      <c r="M20" s="96" t="s">
        <v>62</v>
      </c>
      <c r="N20" s="96" t="s">
        <v>62</v>
      </c>
      <c r="O20" s="96" t="s">
        <v>62</v>
      </c>
      <c r="P20" s="96" t="s">
        <v>62</v>
      </c>
      <c r="Q20" s="96" t="s">
        <v>62</v>
      </c>
      <c r="R20" s="96" t="s">
        <v>62</v>
      </c>
    </row>
    <row r="21" spans="1:18" x14ac:dyDescent="0.25">
      <c r="A21" s="159" t="s">
        <v>213</v>
      </c>
      <c r="B21" s="93" t="s">
        <v>214</v>
      </c>
      <c r="C21" s="96" t="s">
        <v>62</v>
      </c>
      <c r="D21" s="96" t="s">
        <v>62</v>
      </c>
      <c r="E21" s="96" t="s">
        <v>62</v>
      </c>
      <c r="F21" s="96" t="s">
        <v>62</v>
      </c>
      <c r="G21" s="97">
        <v>376</v>
      </c>
      <c r="H21" s="97">
        <v>342</v>
      </c>
      <c r="I21" s="96" t="s">
        <v>62</v>
      </c>
      <c r="J21" s="96" t="s">
        <v>62</v>
      </c>
      <c r="K21" s="96" t="s">
        <v>62</v>
      </c>
      <c r="L21" s="96" t="s">
        <v>62</v>
      </c>
      <c r="M21" s="96" t="s">
        <v>62</v>
      </c>
      <c r="N21" s="96" t="s">
        <v>62</v>
      </c>
      <c r="O21" s="96" t="s">
        <v>62</v>
      </c>
      <c r="P21" s="96" t="s">
        <v>62</v>
      </c>
      <c r="Q21" s="96" t="s">
        <v>62</v>
      </c>
      <c r="R21" s="96" t="s">
        <v>62</v>
      </c>
    </row>
    <row r="22" spans="1:18" x14ac:dyDescent="0.25">
      <c r="A22" s="159"/>
      <c r="B22" s="93" t="s">
        <v>215</v>
      </c>
      <c r="C22" s="96" t="s">
        <v>62</v>
      </c>
      <c r="D22" s="96" t="s">
        <v>62</v>
      </c>
      <c r="E22" s="96" t="s">
        <v>62</v>
      </c>
      <c r="F22" s="96" t="s">
        <v>62</v>
      </c>
      <c r="G22" s="96" t="s">
        <v>62</v>
      </c>
      <c r="H22" s="96" t="s">
        <v>62</v>
      </c>
      <c r="I22" s="96" t="s">
        <v>62</v>
      </c>
      <c r="J22" s="96" t="s">
        <v>62</v>
      </c>
      <c r="K22" s="96">
        <v>650</v>
      </c>
      <c r="L22" s="96">
        <v>588</v>
      </c>
      <c r="M22" s="96" t="s">
        <v>62</v>
      </c>
      <c r="N22" s="96" t="s">
        <v>62</v>
      </c>
      <c r="O22" s="96" t="s">
        <v>62</v>
      </c>
      <c r="P22" s="96" t="s">
        <v>62</v>
      </c>
      <c r="Q22" s="96" t="s">
        <v>62</v>
      </c>
      <c r="R22" s="96" t="s">
        <v>62</v>
      </c>
    </row>
    <row r="23" spans="1:18" x14ac:dyDescent="0.25">
      <c r="A23" s="160"/>
      <c r="B23" s="93" t="s">
        <v>216</v>
      </c>
      <c r="C23" s="96" t="s">
        <v>62</v>
      </c>
      <c r="D23" s="96" t="s">
        <v>62</v>
      </c>
      <c r="E23" s="96" t="s">
        <v>62</v>
      </c>
      <c r="F23" s="96" t="s">
        <v>62</v>
      </c>
      <c r="G23" s="96">
        <v>3500</v>
      </c>
      <c r="H23" s="96">
        <v>3123</v>
      </c>
      <c r="I23" s="96" t="s">
        <v>62</v>
      </c>
      <c r="J23" s="96" t="s">
        <v>62</v>
      </c>
      <c r="K23" s="96">
        <v>3325</v>
      </c>
      <c r="L23" s="96">
        <v>2999</v>
      </c>
      <c r="M23" s="96" t="s">
        <v>62</v>
      </c>
      <c r="N23" s="96" t="s">
        <v>62</v>
      </c>
      <c r="O23" s="96" t="s">
        <v>62</v>
      </c>
      <c r="P23" s="96" t="s">
        <v>62</v>
      </c>
      <c r="Q23" s="96" t="s">
        <v>62</v>
      </c>
      <c r="R23" s="96" t="s">
        <v>62</v>
      </c>
    </row>
    <row r="24" spans="1:18" x14ac:dyDescent="0.25">
      <c r="A24" s="159" t="s">
        <v>217</v>
      </c>
      <c r="B24" s="93" t="s">
        <v>218</v>
      </c>
      <c r="C24" s="96" t="s">
        <v>62</v>
      </c>
      <c r="D24" s="96" t="s">
        <v>62</v>
      </c>
      <c r="E24" s="96" t="s">
        <v>62</v>
      </c>
      <c r="F24" s="96" t="s">
        <v>62</v>
      </c>
      <c r="G24" s="96" t="s">
        <v>62</v>
      </c>
      <c r="H24" s="96" t="s">
        <v>62</v>
      </c>
      <c r="I24" s="96" t="s">
        <v>62</v>
      </c>
      <c r="J24" s="96" t="s">
        <v>62</v>
      </c>
      <c r="K24" s="96" t="s">
        <v>62</v>
      </c>
      <c r="L24" s="96" t="s">
        <v>62</v>
      </c>
      <c r="M24" s="96" t="s">
        <v>62</v>
      </c>
      <c r="N24" s="96" t="s">
        <v>62</v>
      </c>
      <c r="O24" s="96" t="s">
        <v>62</v>
      </c>
      <c r="P24" s="96" t="s">
        <v>62</v>
      </c>
      <c r="Q24" s="96" t="s">
        <v>62</v>
      </c>
      <c r="R24" s="96" t="s">
        <v>62</v>
      </c>
    </row>
    <row r="25" spans="1:18" x14ac:dyDescent="0.25">
      <c r="A25" s="159"/>
      <c r="B25" s="93" t="s">
        <v>219</v>
      </c>
      <c r="C25" s="96" t="s">
        <v>62</v>
      </c>
      <c r="D25" s="96" t="s">
        <v>62</v>
      </c>
      <c r="E25" s="96" t="s">
        <v>62</v>
      </c>
      <c r="F25" s="96" t="s">
        <v>62</v>
      </c>
      <c r="G25" s="96" t="s">
        <v>62</v>
      </c>
      <c r="H25" s="96" t="s">
        <v>62</v>
      </c>
      <c r="I25" s="96" t="s">
        <v>62</v>
      </c>
      <c r="J25" s="96" t="s">
        <v>62</v>
      </c>
      <c r="K25" s="96">
        <v>675</v>
      </c>
      <c r="L25" s="96">
        <v>626</v>
      </c>
      <c r="M25" s="96" t="s">
        <v>62</v>
      </c>
      <c r="N25" s="96" t="s">
        <v>62</v>
      </c>
      <c r="O25" s="96" t="s">
        <v>62</v>
      </c>
      <c r="P25" s="96" t="s">
        <v>62</v>
      </c>
      <c r="Q25" s="96" t="s">
        <v>62</v>
      </c>
      <c r="R25" s="96" t="s">
        <v>62</v>
      </c>
    </row>
    <row r="26" spans="1:18" x14ac:dyDescent="0.25">
      <c r="A26" s="160"/>
      <c r="B26" s="93" t="s">
        <v>220</v>
      </c>
      <c r="C26" s="96" t="s">
        <v>62</v>
      </c>
      <c r="D26" s="96" t="s">
        <v>62</v>
      </c>
      <c r="E26" s="96" t="s">
        <v>62</v>
      </c>
      <c r="F26" s="96" t="s">
        <v>62</v>
      </c>
      <c r="G26" s="96" t="s">
        <v>62</v>
      </c>
      <c r="H26" s="96" t="s">
        <v>62</v>
      </c>
      <c r="I26" s="96" t="s">
        <v>62</v>
      </c>
      <c r="J26" s="96" t="s">
        <v>62</v>
      </c>
      <c r="K26" s="96" t="s">
        <v>62</v>
      </c>
      <c r="L26" s="96" t="s">
        <v>62</v>
      </c>
      <c r="M26" s="96" t="s">
        <v>62</v>
      </c>
      <c r="N26" s="96" t="s">
        <v>62</v>
      </c>
      <c r="O26" s="96" t="s">
        <v>62</v>
      </c>
      <c r="P26" s="96" t="s">
        <v>62</v>
      </c>
      <c r="Q26" s="96" t="s">
        <v>62</v>
      </c>
      <c r="R26" s="96" t="s">
        <v>62</v>
      </c>
    </row>
    <row r="28" spans="1:18" ht="17.25" customHeight="1" x14ac:dyDescent="0.25"/>
  </sheetData>
  <mergeCells count="15">
    <mergeCell ref="A24:A26"/>
    <mergeCell ref="A1:B1"/>
    <mergeCell ref="Q1:R1"/>
    <mergeCell ref="A4:A6"/>
    <mergeCell ref="A8:A10"/>
    <mergeCell ref="A11:A15"/>
    <mergeCell ref="A16:A20"/>
    <mergeCell ref="A21:A23"/>
    <mergeCell ref="E1:F1"/>
    <mergeCell ref="G1:H1"/>
    <mergeCell ref="I1:J1"/>
    <mergeCell ref="K1:L1"/>
    <mergeCell ref="M1:N1"/>
    <mergeCell ref="O1:P1"/>
    <mergeCell ref="C1:D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F5111CA02D8B44A48F3ABC5224A203" ma:contentTypeVersion="3" ma:contentTypeDescription="Create a new document." ma:contentTypeScope="" ma:versionID="6ebb71238dfbb203d91d61cff35bab46">
  <xsd:schema xmlns:xsd="http://www.w3.org/2001/XMLSchema" xmlns:xs="http://www.w3.org/2001/XMLSchema" xmlns:p="http://schemas.microsoft.com/office/2006/metadata/properties" xmlns:ns2="650b1d8e-1b40-4975-8a33-f5f90e263529" targetNamespace="http://schemas.microsoft.com/office/2006/metadata/properties" ma:root="true" ma:fieldsID="1ee0ba0d9409c72c02e8d085e6679a52" ns2:_="">
    <xsd:import namespace="650b1d8e-1b40-4975-8a33-f5f90e2635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d8e-1b40-4975-8a33-f5f90e263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6423F-2ECC-4EF9-97D1-DE0DFBAF576E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650b1d8e-1b40-4975-8a33-f5f90e263529"/>
  </ds:schemaRefs>
</ds:datastoreItem>
</file>

<file path=customXml/itemProps2.xml><?xml version="1.0" encoding="utf-8"?>
<ds:datastoreItem xmlns:ds="http://schemas.openxmlformats.org/officeDocument/2006/customXml" ds:itemID="{E4BC3B49-CE06-4364-A332-7AA23A578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3B9714-8F49-49BC-BBEE-DAEA6432B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0b1d8e-1b40-4975-8a33-f5f90e2635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Working</vt:lpstr>
      <vt:lpstr>New Sheet</vt:lpstr>
      <vt:lpstr>New Price</vt:lpstr>
      <vt:lpstr>Paneer</vt:lpstr>
      <vt:lpstr>Milk</vt:lpstr>
      <vt:lpstr>---</vt:lpstr>
      <vt:lpstr>Sheet2</vt:lpstr>
      <vt:lpstr>Sheet3</vt:lpstr>
      <vt:lpstr>Sheet4</vt:lpstr>
      <vt:lpstr>NEW GST IMPACT</vt:lpstr>
      <vt:lpstr>SKM D MArt Ghee Price</vt:lpstr>
      <vt:lpstr>'New Price'!Print_Area</vt:lpstr>
      <vt:lpstr>'New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</dc:creator>
  <cp:keywords/>
  <dc:description/>
  <cp:lastModifiedBy>Mis</cp:lastModifiedBy>
  <cp:revision/>
  <cp:lastPrinted>2026-08-20T09:07:26Z</cp:lastPrinted>
  <dcterms:created xsi:type="dcterms:W3CDTF">2025-02-15T05:31:30Z</dcterms:created>
  <dcterms:modified xsi:type="dcterms:W3CDTF">2026-08-31T08:21:03Z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0x0101000BF5111CA02D8B44A48F3ABC5224A203</vt:lpwstr>
  </property>
</Properties>
</file>